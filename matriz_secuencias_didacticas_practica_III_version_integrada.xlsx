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3a4364bd7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Planificación" sheetId="1" r:id="R9ebb2fb970604d88"/>
    <x:sheet xmlns:r="http://schemas.openxmlformats.org/officeDocument/2006/relationships" name="2. Implementación" sheetId="2" r:id="R8f830fdddfea43aa"/>
    <x:sheet xmlns:r="http://schemas.openxmlformats.org/officeDocument/2006/relationships" name="3. Evaluación" sheetId="3" r:id="R00906ad1d3974548"/>
    <x:sheet xmlns:r="http://schemas.openxmlformats.org/officeDocument/2006/relationships" name="4. Coherencia y reflexión" sheetId="4" r:id="Rd3892bef14464298"/>
    <x:sheet xmlns:r="http://schemas.openxmlformats.org/officeDocument/2006/relationships" name="Escala y fuentes" sheetId="5" r:id="Rc805029247ba4b13"/>
    <x:sheet xmlns:r="http://schemas.openxmlformats.org/officeDocument/2006/relationships" name="Registro IA" sheetId="6" r:id="R8a0e6ac8d71548fd"/>
    <x:sheet xmlns:r="http://schemas.openxmlformats.org/officeDocument/2006/relationships" name="Panel de seguimiento" sheetId="7" r:id="R30c0dd8c44b6453c"/>
    <x:sheet xmlns:r="http://schemas.openxmlformats.org/officeDocument/2006/relationships" name="Protocolo de IA" sheetId="8" r:id="R8c95bf6cdff547f5"/>
    <x:sheet xmlns:r="http://schemas.openxmlformats.org/officeDocument/2006/relationships" name="Cambios y trazabilidad" sheetId="9" r:id="Rbb9273c651cd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234D73"/>
      </x:patternFill>
    </x:fill>
    <x:fill>
      <x:patternFill patternType="solid">
        <x:fgColor rgb="FFF4F7FB"/>
      </x:patternFill>
    </x:fill>
    <x:fill>
      <x:patternFill patternType="solid">
        <x:fgColor rgb="FF51438F"/>
      </x:patternFill>
    </x:fill>
    <x:fill>
      <x:patternFill patternType="solid">
        <x:fgColor rgb="FFEAF2FF"/>
      </x:patternFill>
    </x:fill>
    <x:fill>
      <x:patternFill patternType="solid">
        <x:fgColor rgb="FFFFF8E9"/>
      </x:patternFill>
    </x:fill>
    <x:fill>
      <x:patternFill patternType="solid">
        <x:fgColor rgb="FFE8F5E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7323591ec4c58" /><Relationship Type="http://schemas.openxmlformats.org/officeDocument/2006/relationships/theme" Target="/xl/theme/theme1.xml" Id="R33db1a32553d41f0" /><Relationship Type="http://schemas.openxmlformats.org/officeDocument/2006/relationships/sharedStrings" Target="/xl/sharedStrings.xml" Id="R56dd011d97df41a0" /><Relationship Type="http://schemas.openxmlformats.org/officeDocument/2006/relationships/worksheet" Target="/xl/worksheets/sheet1.xml" Id="R9ebb2fb970604d88" /><Relationship Type="http://schemas.openxmlformats.org/officeDocument/2006/relationships/worksheet" Target="/xl/worksheets/sheet2.xml" Id="R8f830fdddfea43aa" /><Relationship Type="http://schemas.openxmlformats.org/officeDocument/2006/relationships/worksheet" Target="/xl/worksheets/sheet3.xml" Id="R00906ad1d3974548" /><Relationship Type="http://schemas.openxmlformats.org/officeDocument/2006/relationships/worksheet" Target="/xl/worksheets/sheet4.xml" Id="Rd3892bef14464298" /><Relationship Type="http://schemas.openxmlformats.org/officeDocument/2006/relationships/worksheet" Target="/xl/worksheets/sheet5.xml" Id="Rc805029247ba4b13" /><Relationship Type="http://schemas.openxmlformats.org/officeDocument/2006/relationships/worksheet" Target="/xl/worksheets/sheet6.xml" Id="R8a0e6ac8d71548fd" /><Relationship Type="http://schemas.openxmlformats.org/officeDocument/2006/relationships/worksheet" Target="/xl/worksheets/sheet7.xml" Id="R30c0dd8c44b6453c" /><Relationship Type="http://schemas.openxmlformats.org/officeDocument/2006/relationships/worksheet" Target="/xl/worksheets/sheet8.xml" Id="R8c95bf6cdff547f5" /><Relationship Type="http://schemas.openxmlformats.org/officeDocument/2006/relationships/worksheet" Target="/xl/worksheets/sheet9.xml" Id="Rbb9273c651cd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3" hidden="0" customWidth="1"/>
    <x:col min="3" max="3" width="63" hidden="0" customWidth="1"/>
    <x:col min="4" max="4" width="61" hidden="0" customWidth="1"/>
    <x:col min="5" max="5" width="60" hidden="0" customWidth="1"/>
    <x:col min="6" max="6" width="62" hidden="0" customWidth="1"/>
    <x:col min="7" max="7" width="41" hidden="0" customWidth="1"/>
    <x:col min="8" max="8" width="57" hidden="0" customWidth="1"/>
  </x:cols>
  <x:sheetData>
    <x:row r="1" ht="38" customHeight="1">
      <x:c r="A1" s="5" t="str">
        <x:v>DIMENSIÓN 1  |  PLANIFICACIÓN</x:v>
      </x:c>
      <x:c r="B1" s="5"/>
      <x:c r="C1" s="5"/>
      <x:c r="D1" s="5"/>
      <x:c r="E1" s="5"/>
      <x:c r="F1" s="5"/>
      <x:c r="G1" s="5"/>
      <x:c r="H1" s="5"/>
    </x:row>
    <x:row r="2" ht="43" customHeight="1">
      <x:c r="A2" s="13" t="str">
        <x:v>Criterio</x:v>
      </x:c>
      <x:c r="B2" s="13" t="str">
        <x:v>Foco de observación</x:v>
      </x:c>
      <x:c r="C2" s="13" t="str">
        <x:v>Destacado (3)</x:v>
      </x:c>
      <x:c r="D2" s="13" t="str">
        <x:v>Competente (2)</x:v>
      </x:c>
      <x:c r="E2" s="13" t="str">
        <x:v>Básico (1)</x:v>
      </x:c>
      <x:c r="F2" s="13" t="str">
        <x:v>Evidencia observable exigida a la IA</x:v>
      </x:c>
      <x:c r="G2" s="13" t="str">
        <x:v>Fuente de evidencia</x:v>
      </x:c>
      <x:c r="H2" s="13" t="str">
        <x:v>Sustento / notas</x:v>
      </x:c>
    </x:row>
    <x:row r="3" ht="123" customHeight="1">
      <x:c r="A3" s="22" t="str">
        <x:v>1.1 Objetivos de aprendizaje y habilidades matemáticas</x:v>
      </x:c>
      <x:c r="B3" s="20" t="str">
        <x:v>Claridad, pertinencia y coherencia de los objetivos de aprendizaje y de las habilidades matemáticas (resolver problemas, representar, modelar, argumentar y comunicar) declaradas para la secuencia.</x:v>
      </x:c>
      <x:c r="C3" s="20" t="str">
        <x:v>Los objetivos son claros, medibles y coherentes con el currículum vigente; se articulan explícitamente con habilidades matemáticas específicas y con las tareas propuestas.</x:v>
      </x:c>
      <x:c r="D3" s="20" t="str">
        <x:v>Los objetivos son claros y coherentes con el currículum, aunque la articulación con las habilidades matemáticas es parcial o general.</x:v>
      </x:c>
      <x:c r="E3" s="20" t="str">
        <x:v>Los objetivos son identificables, pero imprecisos o con escasa articulación con el currículum, las habilidades matemáticas o las tareas propuestas.</x:v>
      </x:c>
      <x:c r="F3" s="20" t="str">
        <x:v>OA y objetivos de cada sesión; habilidades matemáticas explicitadas; vínculo con consignas.</x:v>
      </x:c>
      <x:c r="G3" s="20" t="str">
        <x:v>Planificación + currículum declarado</x:v>
      </x:c>
      <x:c r="H3" s="20" t="str">
        <x:v>M1·T1: objetivos (p. 4) | Texto de Samuel conservado como base.</x:v>
      </x:c>
    </x:row>
    <x:row r="4" ht="123" customHeight="1">
      <x:c r="A4" s="24" t="str">
        <x:v>1.2 Selección y secuenciación de las tareas matemáticas</x:v>
      </x:c>
      <x:c r="B4" s="25" t="str">
        <x:v>Progresión de la complejidad de las tareas y su coherencia con los objetivos de aprendizaje declarados.</x:v>
      </x:c>
      <x:c r="C4" s="25" t="str">
        <x:v>Las tareas están secuenciadas con una progresión clara de complejidad cognitiva y se justifica su selección en función del aprendizaje esperado.</x:v>
      </x:c>
      <x:c r="D4" s="25" t="str">
        <x:v>Las tareas presentan una secuencia coherente, aunque la progresión de complejidad no siempre está justificada.</x:v>
      </x:c>
      <x:c r="E4" s="25" t="str">
        <x:v>Las tareas están presentes, pero con una secuenciación poco clara o escasa progresión de complejidad.</x:v>
      </x:c>
      <x:c r="F4" s="25" t="str">
        <x:v>Secuencia de tareas; consignas; progresión de representaciones y demanda cognitiva.</x:v>
      </x:c>
      <x:c r="G4" s="25" t="str">
        <x:v>Planificación + tareas anexas</x:v>
      </x:c>
      <x:c r="H4" s="25" t="str">
        <x:v>M1·T1: actividades/objetivos (p. 5) | Texto de Samuel conservado como base.</x:v>
      </x:c>
    </x:row>
    <x:row r="5" ht="123" customHeight="1">
      <x:c r="A5" s="22" t="str">
        <x:v>1.3 Anticipación de dificultades y errores de los estudiantes</x:v>
      </x:c>
      <x:c r="B5" s="20" t="str">
        <x:v>Calidad y pertinencia de las anticipaciones sobre estrategias, dificultades o errores matemáticos esperables frente a tareas específicas; su justificación puede apoyarse en el diagnóstico, literatura didáctica o experiencias anteriores.</x:v>
      </x:c>
      <x:c r="C5" s="20" t="str">
        <x:v>Anticipa estrategias, dificultades y errores específicos de las tareas; explica su fundamento matemático o didáctico y diferencia posibles formas de razonamiento de los estudiantes.</x:v>
      </x:c>
      <x:c r="D5" s="20" t="str">
        <x:v>Anticipa dificultades, estrategias o errores pertinentes a las tareas y aporta una justificación suficiente, aunque no siempre distingue sus posibles causas.</x:v>
      </x:c>
      <x:c r="E5" s="20" t="str">
        <x:v>Reconoce dificultades o errores esperables, pero sus anticipaciones son generales, poco vinculadas con las tareas o tienen escasa justificación.</x:v>
      </x:c>
      <x:c r="F5" s="20" t="str">
        <x:v>Anticipaciones escritas frente a tareas concretas y razones para preverlas.</x:v>
      </x:c>
      <x:c r="G5" s="20" t="str">
        <x:v>Planificación + diagnóstico/antecedentes</x:v>
      </x:c>
      <x:c r="H5" s="20" t="str">
        <x:v>Elaboración propia didáctica | Descriptor reformulado para uso formativo con IA.</x:v>
      </x:c>
    </x:row>
    <x:row r="6" ht="123" customHeight="1">
      <x:c r="A6" s="24" t="str">
        <x:v>1.4 Gestión pedagógica de los errores anticipados</x:v>
      </x:c>
      <x:c r="B6" s="25" t="str">
        <x:v>Estrategias concretas previstas para abordar pedagógicamente los errores anticipados en el criterio anterior.</x:v>
      </x:c>
      <x:c r="C6" s="25" t="str">
        <x:v>Explicita estrategias diferenciadas y fundamentadas para cada error anticipado, utilizando el error como oportunidad de aprendizaje matemático.</x:v>
      </x:c>
      <x:c r="D6" s="25" t="str">
        <x:v>Explicita estrategias generales para el conjunto de errores anticipados, con un uso pedagógico implícito del error.</x:v>
      </x:c>
      <x:c r="E6" s="25" t="str">
        <x:v>Menciona los errores anticipados, con una gestión propuesta de carácter general o principalmente correctiva.</x:v>
      </x:c>
      <x:c r="F6" s="25" t="str">
        <x:v>Respuestas docentes previstas ante errores; preguntas o representaciones alternativas.</x:v>
      </x:c>
      <x:c r="G6" s="25" t="str">
        <x:v>Planificación + anexos</x:v>
      </x:c>
      <x:c r="H6" s="25" t="str">
        <x:v>Elaboración propia didáctica | Texto de Samuel conservado como base.</x:v>
      </x:c>
    </x:row>
    <x:row r="7" ht="123" customHeight="1">
      <x:c r="A7" s="22" t="str">
        <x:v>1.5 Consideración de la diversidad y el contexto de los estudiantes</x:v>
      </x:c>
      <x:c r="B7" s="20" t="str">
        <x:v>Incorporación de las características del curso, el contexto sociocultural y la diversidad de los estudiantes en la planificación.</x:v>
      </x:c>
      <x:c r="C7" s="20" t="str">
        <x:v>La planificación incorpora explícitamente el diagnóstico del curso y ajusta objetivos, tareas o apoyos según la diversidad identificada.</x:v>
      </x:c>
      <x:c r="D7" s="20" t="str">
        <x:v>La planificación menciona el contexto del curso, con ajustes derivados de la diversidad, aunque limitados.</x:v>
      </x:c>
      <x:c r="E7" s="20" t="str">
        <x:v>La planificación hace referencia genérica al contexto, sin evidencia de ajustes concretos.</x:v>
      </x:c>
      <x:c r="F7" s="20" t="str">
        <x:v>Características documentadas del curso y ajustes concretos de participación, acceso o desafío.</x:v>
      </x:c>
      <x:c r="G7" s="20" t="str">
        <x:v>Planificación + diagnóstico</x:v>
      </x:c>
      <x:c r="H7" s="20" t="str">
        <x:v>M1·T1: fundamentación (pp. 6–7) | Texto de Samuel conservado como base.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3" hidden="0" customWidth="1"/>
    <x:col min="3" max="3" width="63" hidden="0" customWidth="1"/>
    <x:col min="4" max="4" width="61" hidden="0" customWidth="1"/>
    <x:col min="5" max="5" width="60" hidden="0" customWidth="1"/>
    <x:col min="6" max="6" width="62" hidden="0" customWidth="1"/>
    <x:col min="7" max="7" width="41" hidden="0" customWidth="1"/>
    <x:col min="8" max="8" width="57" hidden="0" customWidth="1"/>
  </x:cols>
  <x:sheetData>
    <x:row r="1" ht="38" customHeight="1">
      <x:c r="A1" s="5" t="str">
        <x:v>DIMENSIÓN 2  |  IMPLEMENTACIÓN</x:v>
      </x:c>
      <x:c r="B1" s="5"/>
      <x:c r="C1" s="5"/>
      <x:c r="D1" s="5"/>
      <x:c r="E1" s="5"/>
      <x:c r="F1" s="5"/>
      <x:c r="G1" s="5"/>
      <x:c r="H1" s="5"/>
    </x:row>
    <x:row r="2" ht="43" customHeight="1">
      <x:c r="A2" s="13" t="str">
        <x:v>Criterio</x:v>
      </x:c>
      <x:c r="B2" s="13" t="str">
        <x:v>Foco de observación</x:v>
      </x:c>
      <x:c r="C2" s="13" t="str">
        <x:v>Destacado (3)</x:v>
      </x:c>
      <x:c r="D2" s="13" t="str">
        <x:v>Competente (2)</x:v>
      </x:c>
      <x:c r="E2" s="13" t="str">
        <x:v>Básico (1)</x:v>
      </x:c>
      <x:c r="F2" s="13" t="str">
        <x:v>Evidencia observable exigida a la IA</x:v>
      </x:c>
      <x:c r="G2" s="13" t="str">
        <x:v>Fuente de evidencia</x:v>
      </x:c>
      <x:c r="H2" s="13" t="str">
        <x:v>Sustento / notas</x:v>
      </x:c>
    </x:row>
    <x:row r="3" ht="123" customHeight="1">
      <x:c r="A3" s="22" t="str">
        <x:v>2.1 Habilidades matemáticas promovidas en la implementación</x:v>
      </x:c>
      <x:c r="B3" s="20" t="str">
        <x:v>Evidencia observable de promoción de habilidades como resolver problemas, representar, modelar, argumentar y comunicar durante la clase.</x:v>
      </x:c>
      <x:c r="C3" s="20" t="str">
        <x:v>Se observa promoción explícita y sostenida de múltiples habilidades matemáticas, con intervenciones docentes que las hacen visibles a los estudiantes.</x:v>
      </x:c>
      <x:c r="D3" s="20" t="str">
        <x:v>Se observa promoción de habilidades matemáticas, aunque de forma menos sostenida o explícita durante la clase.</x:v>
      </x:c>
      <x:c r="E3" s="20" t="str">
        <x:v>La promoción de habilidades es incidental o se limita mayormente a la ejecución de procedimientos.</x:v>
      </x:c>
      <x:c r="F3" s="20" t="str">
        <x:v>Consignas, preguntas, producciones y turnos donde se desarrollan habilidades matemáticas.</x:v>
      </x:c>
      <x:c r="G3" s="20" t="str">
        <x:v>Vídeo/transcripción + trabajos</x:v>
      </x:c>
      <x:c r="H3" s="20" t="str">
        <x:v>M2: aprendizaje profundo (pp. 20–21) | Texto de Samuel conservado como base.</x:v>
      </x:c>
    </x:row>
    <x:row r="4" ht="123" customHeight="1">
      <x:c r="A4" s="24" t="str">
        <x:v>2.2 Monitoreo e interpretación de los desempeños</x:v>
      </x:c>
      <x:c r="B4" s="25" t="str">
        <x:v>Calidad de la recogida de evidencias durante el trabajo del alumnado, interpretación de respuestas y adecuación de las intervenciones docentes; no se reduce a recorrer la sala.</x:v>
      </x:c>
      <x:c r="C4" s="25" t="str">
        <x:v>Recoge evidencias de distintas estrategias o dificultades, las interpreta durante la clase y adapta preguntas, apoyos o desafíos para promover avances matemáticos.</x:v>
      </x:c>
      <x:c r="D4" s="25" t="str">
        <x:v>Recoge evidencias pertinentes del trabajo de los estudiantes y responde con intervenciones que contribuyen a su aprendizaje, aunque de manera poco sistemática.</x:v>
      </x:c>
      <x:c r="E4" s="25" t="str">
        <x:v>Observa o supervisa el trabajo, pero recoge poca evidencia específica o responde principalmente corrigiendo respuestas sin explorar el razonamiento.</x:v>
      </x:c>
      <x:c r="F4" s="25" t="str">
        <x:v>Preguntas de monitoreo, respuestas recogidas, interpretación y decisiones del docente.</x:v>
      </x:c>
      <x:c r="G4" s="25" t="str">
        <x:v>Vídeo/transcripción + registros</x:v>
      </x:c>
      <x:c r="H4" s="25" t="str">
        <x:v>M2: uso de desempeños (p. 24) | Descriptor reformulado para uso formativo con IA.</x:v>
      </x:c>
    </x:row>
    <x:row r="5" ht="123" customHeight="1">
      <x:c r="A5" s="22" t="str">
        <x:v>2.3 Gestión de situaciones comunicativas y preguntas para el debate matemático</x:v>
      </x:c>
      <x:c r="B5" s="20" t="str">
        <x:v>Calidad de las preguntas formuladas para promover la argumentación y el debate de ideas matemáticas entre estudiantes.</x:v>
      </x:c>
      <x:c r="C5" s="20" t="str">
        <x:v>Formula preguntas abiertas y de alto nivel cognitivo que generan debate matemático genuino y confrontación de estrategias entre estudiantes.</x:v>
      </x:c>
      <x:c r="D5" s="20" t="str">
        <x:v>Formula preguntas que promueven cierta discusión matemática, aunque predominan preguntas de respuesta cerrada o guiada.</x:v>
      </x:c>
      <x:c r="E5" s="20" t="str">
        <x:v>Las preguntas son mayoritariamente cerradas o de verificación, con escaso fomento del debate matemático.</x:v>
      </x:c>
      <x:c r="F5" s="20" t="str">
        <x:v>Preguntas abiertas, argumentos estudiantiles, contraste de estrategias y devolución docente.</x:v>
      </x:c>
      <x:c r="G5" s="20" t="str">
        <x:v>Vídeo/transcripción + trabajos</x:v>
      </x:c>
      <x:c r="H5" s="20" t="str">
        <x:v>M2: participación y aprendizaje profundo (pp. 17, 20) | Texto de Samuel conservado como base.</x:v>
      </x:c>
    </x:row>
    <x:row r="6" ht="123" customHeight="1">
      <x:c r="A6" s="24" t="str">
        <x:v>2.4 Pertinencia de los medios didácticos</x:v>
      </x:c>
      <x:c r="B6" s="25" t="str">
        <x:v>Adecuación de representaciones, recursos manipulables o tecnológicos efectivamente necesarios o utilizados en relación con el propósito y las tareas matemáticas; no se exige un tipo de recurso por sí mismo.</x:v>
      </x:c>
      <x:c r="C6" s="25" t="str">
        <x:v>Selecciona e integra recursos o representaciones pertinentes cuando aportan al propósito; explicita su función matemática y conecta las formas de representación con las ideas de los estudiantes.</x:v>
      </x:c>
      <x:c r="D6" s="25" t="str">
        <x:v>Utiliza recursos o representaciones pertinentes cuando se requieren, con integración suficiente al propósito matemático, aunque sus conexiones no siempre se explicitan.</x:v>
      </x:c>
      <x:c r="E6" s="25" t="str">
        <x:v>Los recursos o representaciones seleccionados tienen una relación débil con el propósito, se usan decorativamente o no se aprovechan cuando son necesarios para acceder a la tarea.</x:v>
      </x:c>
      <x:c r="F6" s="25" t="str">
        <x:v>Recursos y representaciones empleados; función en la tarea; explicación o conexiones matemáticas.</x:v>
      </x:c>
      <x:c r="G6" s="25" t="str">
        <x:v>Vídeo + materiales de aula</x:v>
      </x:c>
      <x:c r="H6" s="25" t="str">
        <x:v>M2: contribución actividades (p. 19) | Descriptor reformulado para uso formativo con IA.</x:v>
      </x:c>
    </x:row>
    <x:row r="7" ht="123" customHeight="1">
      <x:c r="A7" s="22" t="str">
        <x:v>2.5 Elementos de inclusión, equidad y género</x:v>
      </x:c>
      <x:c r="B7" s="20" t="str">
        <x:v>Presencia de estrategias y recursos que consideran la inclusión, la equidad y la perspectiva de género en la implementación.</x:v>
      </x:c>
      <x:c r="C7" s="20" t="str">
        <x:v>Se evidencian estrategias explícitas de inclusión y equidad (apoyos diferenciados, lenguaje no sexista, ejemplos representativos de la diversidad del curso).</x:v>
      </x:c>
      <x:c r="D7" s="20" t="str">
        <x:v>Se evidencian algunos elementos de inclusión o equidad, aunque de manera menos sistemática.</x:v>
      </x:c>
      <x:c r="E7" s="20" t="str">
        <x:v>Los elementos de inclusión, equidad o género están presentes solo de forma declarativa, sin traducirse en acciones concretas.</x:v>
      </x:c>
      <x:c r="F7" s="20" t="str">
        <x:v>Distribución de oportunidades, apoyos, lenguaje y respuestas a barreras observables.</x:v>
      </x:c>
      <x:c r="G7" s="20" t="str">
        <x:v>Vídeo/transcripción + materiales</x:v>
      </x:c>
      <x:c r="H7" s="20" t="str">
        <x:v>M1: diversidad (pp. 6–7); M2: equidad (p. 25) | Texto de Samuel conservado como base.</x:v>
      </x:c>
    </x:row>
    <x:row r="8" ht="123" customHeight="1">
      <x:c r="A8" s="24" t="str">
        <x:v>2.6 Idoneidad epistémica de las tareas matemáticas</x:v>
      </x:c>
      <x:c r="B8" s="25" t="str">
        <x:v>Representatividad y corrección del significado matemático puesto en juego (definiciones, procedimientos, argumentos y representaciones) en las tareas implementadas.</x:v>
      </x:c>
      <x:c r="C8" s="25" t="str">
        <x:v>Las tareas son matemáticamente correctas, representativas del significado institucional del objeto matemático y promueven múltiples formas de representación y argumentación.</x:v>
      </x:c>
      <x:c r="D8" s="25" t="str">
        <x:v>Las tareas son matemáticamente correctas y en general representativas, aunque con limitaciones en la riqueza de representaciones o argumentos.</x:v>
      </x:c>
      <x:c r="E8" s="25" t="str">
        <x:v>Las tareas presentan imprecisiones matemáticas menores o una representatividad solo parcial del objeto matemático en juego.</x:v>
      </x:c>
      <x:c r="F8" s="25" t="str">
        <x:v>Definiciones, procedimientos, argumentos y representaciones matemáticas del episodio.</x:v>
      </x:c>
      <x:c r="G8" s="25" t="str">
        <x:v>Vídeo + tareas + trabajos</x:v>
      </x:c>
      <x:c r="H8" s="25" t="str">
        <x:v>M2: error conceptual (p. 19) + elaboración propia | Texto de Samuel conservado como base. Revisar separadamente errores conceptuales graves; no tratar una imprecisión crítica como logro suficiente.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3" hidden="0" customWidth="1"/>
    <x:col min="3" max="3" width="63" hidden="0" customWidth="1"/>
    <x:col min="4" max="4" width="61" hidden="0" customWidth="1"/>
    <x:col min="5" max="5" width="60" hidden="0" customWidth="1"/>
    <x:col min="6" max="6" width="62" hidden="0" customWidth="1"/>
    <x:col min="7" max="7" width="41" hidden="0" customWidth="1"/>
    <x:col min="8" max="8" width="57" hidden="0" customWidth="1"/>
  </x:cols>
  <x:sheetData>
    <x:row r="1" ht="38" customHeight="1">
      <x:c r="A1" s="5" t="str">
        <x:v>DIMENSIÓN 3  |  EVALUACIÓN</x:v>
      </x:c>
      <x:c r="B1" s="5"/>
      <x:c r="C1" s="5"/>
      <x:c r="D1" s="5"/>
      <x:c r="E1" s="5"/>
      <x:c r="F1" s="5"/>
      <x:c r="G1" s="5"/>
      <x:c r="H1" s="5"/>
    </x:row>
    <x:row r="2" ht="43" customHeight="1">
      <x:c r="A2" s="13" t="str">
        <x:v>Criterio</x:v>
      </x:c>
      <x:c r="B2" s="13" t="str">
        <x:v>Foco de observación</x:v>
      </x:c>
      <x:c r="C2" s="13" t="str">
        <x:v>Destacado (3)</x:v>
      </x:c>
      <x:c r="D2" s="13" t="str">
        <x:v>Competente (2)</x:v>
      </x:c>
      <x:c r="E2" s="13" t="str">
        <x:v>Básico (1)</x:v>
      </x:c>
      <x:c r="F2" s="13" t="str">
        <x:v>Evidencia observable exigida a la IA</x:v>
      </x:c>
      <x:c r="G2" s="13" t="str">
        <x:v>Fuente de evidencia</x:v>
      </x:c>
      <x:c r="H2" s="13" t="str">
        <x:v>Sustento / notas</x:v>
      </x:c>
    </x:row>
    <x:row r="3" ht="123" customHeight="1">
      <x:c r="A3" s="22" t="str">
        <x:v>3.1 Indicadores de evaluación</x:v>
      </x:c>
      <x:c r="B3" s="20" t="str">
        <x:v>Claridad, pertinencia y observabilidad de los indicadores construidos para evaluar el logro de los objetivos.</x:v>
      </x:c>
      <x:c r="C3" s="20" t="str">
        <x:v>Los indicadores son claros, observables y están directamente alineados con los objetivos de aprendizaje y las habilidades matemáticas trabajadas.</x:v>
      </x:c>
      <x:c r="D3" s="20" t="str">
        <x:v>Los indicadores son pertinentes, aunque su formulación es parcialmente ambigua o poco observable.</x:v>
      </x:c>
      <x:c r="E3" s="20" t="str">
        <x:v>Los indicadores presentan baja alineación con los objetivos o son de difícil observación en el aula.</x:v>
      </x:c>
      <x:c r="F3" s="20" t="str">
        <x:v>Indicadores expresados en desempeños verificables y relación con OA/habilidades.</x:v>
      </x:c>
      <x:c r="G3" s="20" t="str">
        <x:v>Planificación evaluativa</x:v>
      </x:c>
      <x:c r="H3" s="20" t="str">
        <x:v>M1·T2: monitoreo (p. 8) | Texto de Samuel conservado como base.</x:v>
      </x:c>
    </x:row>
    <x:row r="4" ht="123" customHeight="1">
      <x:c r="A4" s="24" t="str">
        <x:v>3.2 Tipo de instrumento de evaluación</x:v>
      </x:c>
      <x:c r="B4" s="25" t="str">
        <x:v>Pertinencia del instrumento (formal/informal, cuantitativo/cualitativo) respecto del propósito evaluativo y de las habilidades matemáticas evaluadas.</x:v>
      </x:c>
      <x:c r="C4" s="25" t="str">
        <x:v>El instrumento seleccionado es coherente con el propósito evaluativo, permite evidenciar habilidades matemáticas de orden superior y su elección está justificada.</x:v>
      </x:c>
      <x:c r="D4" s="25" t="str">
        <x:v>El instrumento es coherente con el propósito evaluativo, aunque evalúa principalmente habilidades de orden más básico.</x:v>
      </x:c>
      <x:c r="E4" s="25" t="str">
        <x:v>El instrumento tiene una relación limitada con el propósito evaluativo o con las habilidades matemáticas trabajadas.</x:v>
      </x:c>
      <x:c r="F4" s="25" t="str">
        <x:v>Consignas/instrumentos, criterios de logro y respuestas que permiten recoger.</x:v>
      </x:c>
      <x:c r="G4" s="25" t="str">
        <x:v>Instrumento + producciones</x:v>
      </x:c>
      <x:c r="H4" s="25" t="str">
        <x:v>M1·T2: monitoreo (p. 8) | Texto de Samuel conservado como base.</x:v>
      </x:c>
    </x:row>
    <x:row r="5" ht="123" customHeight="1">
      <x:c r="A5" s="22" t="str">
        <x:v>3.3 Pertinencia y uso de acciones evaluativas</x:v>
      </x:c>
      <x:c r="B5" s="20" t="str">
        <x:v>Coherencia de la función diagnóstica, formativa o sumativa de las acciones evaluativas, según el propósito y momento de la secuencia, y uso de la información resultante; no exige necesariamente las tres funciones.</x:v>
      </x:c>
      <x:c r="C5" s="20" t="str">
        <x:v>Selecciona y articula acciones evaluativas adecuadas al propósito y al momento de la secuencia; utiliza la información para ajustar la enseñanza, retroalimentar y/o comunicar los aprendizajes, según corresponda.</x:v>
      </x:c>
      <x:c r="D5" s="20" t="str">
        <x:v>Implementa acciones evaluativas pertinentes al propósito y momento de la secuencia y utiliza parte de la información para orientar decisiones de enseñanza.</x:v>
      </x:c>
      <x:c r="E5" s="20" t="str">
        <x:v>Recoge información de aprendizaje, pero las acciones evaluativas se vinculan débilmente con el propósito o su información tiene escaso uso pedagógico.</x:v>
      </x:c>
      <x:c r="F5" s="20" t="str">
        <x:v>Actividades evaluativas efectivas; momento, intención, evidencias y decisiones.</x:v>
      </x:c>
      <x:c r="G5" s="20" t="str">
        <x:v>Planificación + vídeo + trabajos</x:v>
      </x:c>
      <x:c r="H5" s="20" t="str">
        <x:v>M1·T2: monitoreo/uso (pp. 8, 10) | Descriptor reformulado para uso formativo con IA.</x:v>
      </x:c>
    </x:row>
    <x:row r="6" ht="123" customHeight="1">
      <x:c r="A6" s="24" t="str">
        <x:v>3.4 Análisis de resultados y uso formativo</x:v>
      </x:c>
      <x:c r="B6" s="25" t="str">
        <x:v>Interpretación de logros, dificultades y diferencias entre desempeños; explicación de causas plausibles y decisiones pedagógicas sustentadas en evidencias.</x:v>
      </x:c>
      <x:c r="C6" s="25" t="str">
        <x:v>Analiza distintos desempeños, relaciona causas pedagógicas y contextuales plausibles con evidencias concretas y propone acciones diferenciadas para quienes presentan dificultades y quienes han avanzado.</x:v>
      </x:c>
      <x:c r="D6" s="25" t="str">
        <x:v>Analiza logros y dificultades a partir de evidencias, explica al menos una causa plausible y plantea acciones pertinentes de mejora.</x:v>
      </x:c>
      <x:c r="E6" s="25" t="str">
        <x:v>Describe algunos resultados y menciona posibles causas o acciones, sin explicar suficientemente su relación con la evidencia recogida.</x:v>
      </x:c>
      <x:c r="F6" s="25" t="str">
        <x:v>Resultados/ejemplos de desempeño, explicación de causas y próximas acciones.</x:v>
      </x:c>
      <x:c r="G6" s="25" t="str">
        <x:v>Resultados + reflexión posterior</x:v>
      </x:c>
      <x:c r="H6" s="25" t="str">
        <x:v>M1·T2: análisis y uso (pp. 9–10) | Descriptor reformulado para uso formativo con IA.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63" hidden="0" customWidth="1"/>
    <x:col min="3" max="3" width="63" hidden="0" customWidth="1"/>
    <x:col min="4" max="4" width="61" hidden="0" customWidth="1"/>
    <x:col min="5" max="5" width="60" hidden="0" customWidth="1"/>
    <x:col min="6" max="6" width="62" hidden="0" customWidth="1"/>
    <x:col min="7" max="7" width="41" hidden="0" customWidth="1"/>
    <x:col min="8" max="8" width="57" hidden="0" customWidth="1"/>
  </x:cols>
  <x:sheetData>
    <x:row r="1" ht="38" customHeight="1">
      <x:c r="A1" s="5" t="str">
        <x:v>DIMENSIÓN 4  |  COHERENCIA Y REFLEXIÓN</x:v>
      </x:c>
      <x:c r="B1" s="5"/>
      <x:c r="C1" s="5"/>
      <x:c r="D1" s="5"/>
      <x:c r="E1" s="5"/>
      <x:c r="F1" s="5"/>
      <x:c r="G1" s="5"/>
      <x:c r="H1" s="5"/>
    </x:row>
    <x:row r="2" ht="43" customHeight="1">
      <x:c r="A2" s="28" t="str">
        <x:v>Criterio</x:v>
      </x:c>
      <x:c r="B2" s="28" t="str">
        <x:v>Foco de observación</x:v>
      </x:c>
      <x:c r="C2" s="28" t="str">
        <x:v>Destacado (3)</x:v>
      </x:c>
      <x:c r="D2" s="28" t="str">
        <x:v>Competente (2)</x:v>
      </x:c>
      <x:c r="E2" s="28" t="str">
        <x:v>Básico (1)</x:v>
      </x:c>
      <x:c r="F2" s="28" t="str">
        <x:v>Evidencia observable exigida a la IA</x:v>
      </x:c>
      <x:c r="G2" s="28" t="str">
        <x:v>Fuente de evidencia</x:v>
      </x:c>
      <x:c r="H2" s="28" t="str">
        <x:v>Sustento / notas</x:v>
      </x:c>
    </x:row>
    <x:row r="3" ht="123" customHeight="1">
      <x:c r="A3" s="22" t="str">
        <x:v>4.1 Coherencia entre objetivos planificados y aprendizajes abordados</x:v>
      </x:c>
      <x:c r="B3" s="20" t="str">
        <x:v>Correspondencia entre los objetivos y habilidades matemáticas declarados y las oportunidades de aprendizaje efectivamente ofrecidas durante la implementación.</x:v>
      </x:c>
      <x:c r="C3" s="20" t="str">
        <x:v>Todas las metas centrales se traducen en oportunidades de aprendizaje identificables, y las intervenciones permiten profundizar las habilidades matemáticas previstas.</x:v>
      </x:c>
      <x:c r="D3" s="20" t="str">
        <x:v>Las actividades implementadas permiten abordar los objetivos y habilidades matemáticas centrales planificados.</x:v>
      </x:c>
      <x:c r="E3" s="20" t="str">
        <x:v>Solo parte de los objetivos previstos se aborda mediante actividades que ofrecen oportunidades de aprendizaje matemático.</x:v>
      </x:c>
      <x:c r="F3" s="20" t="str">
        <x:v>Cruce entre cada OA previsto y fragmentos de clase que muestran oportunidades reales para abordarlo.</x:v>
      </x:c>
      <x:c r="G3" s="20" t="str">
        <x:v>Planificación ↔ vídeo/transcripción</x:v>
      </x:c>
      <x:c r="H3" s="20" t="str">
        <x:v>M1·T1 (p. 5) + M2 (p. 19); adaptación | Descriptor reformulado para uso formativo con IA.</x:v>
      </x:c>
    </x:row>
    <x:row r="4" ht="123" customHeight="1">
      <x:c r="A4" s="24" t="str">
        <x:v>4.2 Coherencia entre tareas planificadas e implementadas</x:v>
      </x:c>
      <x:c r="B4" s="25" t="str">
        <x:v>Correspondencia entre tareas previstas y desarrolladas, considerando contenido matemático, secuencia, demanda cognitiva y condiciones de realización.</x:v>
      </x:c>
      <x:c r="C4" s="25" t="str">
        <x:v>Se mantiene o enriquece la demanda matemática de las tareas; los cambios en consignas o secuencia se sustentan en evidencias y conservan el propósito.</x:v>
      </x:c>
      <x:c r="D4" s="25" t="str">
        <x:v>Las tareas mantienen su propósito matemático y demanda cognitiva esencial, aunque se realizan modificaciones de organización o desarrollo.</x:v>
      </x:c>
      <x:c r="E4" s="25" t="str">
        <x:v>Los cambios reducen de forma importante la demanda o diluyen el propósito matemático previsto, sin una justificación pedagógica suficiente.</x:v>
      </x:c>
      <x:c r="F4" s="25" t="str">
        <x:v>Consignas antes/después, orden real de tareas, demanda cognitiva y tiempo de trabajo.</x:v>
      </x:c>
      <x:c r="G4" s="25" t="str">
        <x:v>Planificación ↔ implementación</x:v>
      </x:c>
      <x:c r="H4" s="25" t="str">
        <x:v>M1·T1 (p. 5) + M2 (p. 19); adaptación | Descriptor reformulado para uso formativo con IA.</x:v>
      </x:c>
    </x:row>
    <x:row r="5" ht="123" customHeight="1">
      <x:c r="A5" s="22" t="str">
        <x:v>4.3 Gestión y fundamentación de ajustes durante la implementación</x:v>
      </x:c>
      <x:c r="B5" s="20" t="str">
        <x:v>Pertinencia y justificación de modificaciones introducidas ante producciones, errores, dificultades y avances; cambiar la planificación no es un defecto por sí mismo.</x:v>
      </x:c>
      <x:c r="C5" s="20" t="str">
        <x:v>Explica ajustes concretos relacionando evidencias estudiantiles, anticipaciones didácticas y consecuencias para los aprendizajes; actúa flexiblemente con fundamento.</x:v>
      </x:c>
      <x:c r="D5" s="20" t="str">
        <x:v>Reconoce y fundamenta ajustes pertinentes a partir de necesidades o desempeños observados, preservando el propósito de aprendizaje.</x:v>
      </x:c>
      <x:c r="E5" s="20" t="str">
        <x:v>Describe cambios realizados, pero su justificación es débil o no muestra vínculo suficiente con los desempeños y el propósito matemático.</x:v>
      </x:c>
      <x:c r="F5" s="20" t="str">
        <x:v>Desvíos y decisiones ante errores o estrategias emergentes, con evidencia y justificación.</x:v>
      </x:c>
      <x:c r="G5" s="20" t="str">
        <x:v>Planificación ↔ vídeo ↔ reflexión</x:v>
      </x:c>
      <x:c r="H5" s="20" t="str">
        <x:v>M2: uso de desempeños (p. 24); adaptación | Descriptor reformulado para uso formativo con IA.</x:v>
      </x:c>
    </x:row>
    <x:row r="6" ht="123" customHeight="1">
      <x:c r="A6" s="24" t="str">
        <x:v>4.4 Coherencia entre enseñanza, evaluación y decisiones posteriores</x:v>
      </x:c>
      <x:c r="B6" s="25" t="str">
        <x:v>Relación entre aprendizajes realmente abordados, indicadores y tareas de evaluación, evidencias producidas y decisiones de continuidad.</x:v>
      </x:c>
      <x:c r="C6" s="25" t="str">
        <x:v>Relaciona de forma explícita lo enseñado, lo evaluado y los desempeños; identifica vacíos de evidencia y sustenta ajustes diferenciados para continuar enseñando.</x:v>
      </x:c>
      <x:c r="D6" s="25" t="str">
        <x:v>Recoge evidencias coherentes con los aprendizajes abordados e identifica logros, dificultades y decisiones posteriores pertinentes.</x:v>
      </x:c>
      <x:c r="E6" s="25" t="str">
        <x:v>La evaluación recoge parcialmente lo abordado o las decisiones posteriores se encuentran débilmente vinculadas con los resultados observados.</x:v>
      </x:c>
      <x:c r="F6" s="25" t="str">
        <x:v>Cruce OA–tareas implementadas–indicadores–respuestas y decisiones posteriores.</x:v>
      </x:c>
      <x:c r="G6" s="25" t="str">
        <x:v>Planificación ↔ implementación ↔ evaluación</x:v>
      </x:c>
      <x:c r="H6" s="25" t="str">
        <x:v>M1·T2 (pp. 8–10) + M2 (p. 19); adaptación | Descriptor reformulado para uso formativo con IA.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48" hidden="0" customWidth="1"/>
    <x:col min="4" max="4" width="47" hidden="0" customWidth="1"/>
    <x:col min="5" max="5" width="17" hidden="0" customWidth="1"/>
    <x:col min="6" max="6" width="49" hidden="0" customWidth="1"/>
    <x:col min="7" max="7" width="27" hidden="0" customWidth="1"/>
    <x:col min="8" max="8" width="16" hidden="0" customWidth="1"/>
  </x:cols>
  <x:sheetData>
    <x:row r="1" ht="38" customHeight="1">
      <x:c r="A1" s="5" t="str">
        <x:v>ESCALA DE VALORACIÓN | criterios de aplicación</x:v>
      </x:c>
      <x:c r="B1" s="5"/>
      <x:c r="C1" s="5"/>
      <x:c r="D1" s="5"/>
      <x:c r="E1" s="5"/>
      <x:c r="F1" s="5"/>
      <x:c r="G1" s="5"/>
      <x:c r="H1" s="5"/>
    </x:row>
    <x:row r="2" ht="43" customHeight="1">
      <x:c r="A2" s="13" t="str">
        <x:v>Intervalo (promedio redondeado a 1 decimal)</x:v>
      </x:c>
      <x:c r="B2" s="13" t="str">
        <x:v>Nivel</x:v>
      </x:c>
      <x:c r="C2" s="13" t="str">
        <x:v>Lectura formativa</x:v>
      </x:c>
      <x:c r="D2" s="13" t="str">
        <x:v>Cálculo</x:v>
      </x:c>
      <x:c r="E2" s="13" t="str">
        <x:v>Límite inferior</x:v>
      </x:c>
      <x:c r="F2" s="13" t="str">
        <x:v>Condición</x:v>
      </x:c>
      <x:c r="G2" s="13" t="str">
        <x:v>Etiqueta IA</x:v>
      </x:c>
      <x:c r="H2" s="13" t="str">
        <x:v>Puntos</x:v>
      </x:c>
    </x:row>
    <x:row r="3" ht="86" customHeight="1">
      <x:c r="A3" s="20" t="str">
        <x:v>2,5 a 3,0</x:v>
      </x:c>
      <x:c r="B3" s="20" t="str">
        <x:v>Destacado</x:v>
      </x:c>
      <x:c r="C3" s="20" t="str">
        <x:v>Dominio consolidado de la dimensión, con autonomía y fundamentación.</x:v>
      </x:c>
      <x:c r="D3" s="20" t="str">
        <x:v>3 puntos por criterio</x:v>
      </x:c>
      <x:c r="E3" s="32" t="n">
        <x:v>2.5</x:v>
      </x:c>
      <x:c r="F3" s="20" t="str">
        <x:v>Promedio calculado con todos los criterios y validación humana.</x:v>
      </x:c>
      <x:c r="G3" s="20" t="str">
        <x:v>Destacado</x:v>
      </x:c>
      <x:c r="H3" s="20" t="n">
        <x:v>3</x:v>
      </x:c>
    </x:row>
    <x:row r="4" ht="86" customHeight="1">
      <x:c r="A4" s="20" t="str">
        <x:v>1,8 a 2,4</x:v>
      </x:c>
      <x:c r="B4" s="20" t="str">
        <x:v>Competente</x:v>
      </x:c>
      <x:c r="C4" s="20" t="str">
        <x:v>Manejo adecuado de las competencias; aspectos específicos por profundizar.</x:v>
      </x:c>
      <x:c r="D4" s="20" t="str">
        <x:v>2 puntos por criterio</x:v>
      </x:c>
      <x:c r="E4" s="32" t="n">
        <x:v>1.8</x:v>
      </x:c>
      <x:c r="F4" s="20" t="str">
        <x:v>Solo se comunica nivel final si todos los criterios tienen evidencia.</x:v>
      </x:c>
      <x:c r="G4" s="20" t="str">
        <x:v>Competente</x:v>
      </x:c>
      <x:c r="H4" s="20" t="n">
        <x:v>2</x:v>
      </x:c>
    </x:row>
    <x:row r="5" ht="86" customHeight="1">
      <x:c r="A5" s="20" t="str">
        <x:v>1,0 a 1,7</x:v>
      </x:c>
      <x:c r="B5" s="20" t="str">
        <x:v>Básico</x:v>
      </x:c>
      <x:c r="C5" s="20" t="str">
        <x:v>Manejo inicial; requiere apoyo y retroalimentación sistemática.</x:v>
      </x:c>
      <x:c r="D5" s="20" t="str">
        <x:v>1 punto por criterio</x:v>
      </x:c>
      <x:c r="E5" s="32" t="n">
        <x:v>1</x:v>
      </x:c>
      <x:c r="F5" s="20" t="str">
        <x:v>Los promedios parciales deben señalarse como provisionales.</x:v>
      </x:c>
      <x:c r="G5" s="20" t="str">
        <x:v>Básico</x:v>
      </x:c>
      <x:c r="H5" s="20" t="n">
        <x:v>1</x:v>
      </x:c>
    </x:row>
    <x:row r="6" ht="86" customHeight="1">
      <x:c r="A6" s="20" t="str">
        <x:v>No puntúa</x:v>
      </x:c>
      <x:c r="B6" s="20" t="str">
        <x:v>Evidencia insuficiente</x:v>
      </x:c>
      <x:c r="C6" s="20" t="str">
        <x:v>No indica desempeño bajo: faltan datos observables para valorar.</x:v>
      </x:c>
      <x:c r="D6" s="20" t="str">
        <x:v>Sin puntuación</x:v>
      </x:c>
      <x:c r="E6" s="20"/>
      <x:c r="F6" s="20" t="str">
        <x:v>Solicitar evidencia o revisión humana antes de cerrar.</x:v>
      </x:c>
      <x:c r="G6" s="20" t="str">
        <x:v>Evidencia insuficiente</x:v>
      </x:c>
      <x:c r="H6" s="20"/>
    </x:row>
    <x:row r="8" ht="29" customHeight="1">
      <x:c r="A8" s="13" t="str">
        <x:v>REGLAS DE INTERPRETACIÓN</x:v>
      </x:c>
      <x:c r="B8" s="13"/>
      <x:c r="C8" s="13"/>
      <x:c r="D8" s="13"/>
      <x:c r="E8" s="13"/>
      <x:c r="F8" s="13"/>
      <x:c r="G8" s="13"/>
      <x:c r="H8" s="13"/>
    </x:row>
    <x:row r="9" ht="48" customHeight="1">
      <x:c r="A9" s="18" t="str">
        <x:v>Se conservan los tres niveles de Samuel (Básico, Competente y Destacado). La opción «Evidencia insuficiente» NO es un nivel de desempeño ni equivale a 1 punto.</x:v>
      </x:c>
      <x:c r="B9" s="18"/>
      <x:c r="C9" s="18"/>
      <x:c r="D9" s="18"/>
      <x:c r="E9" s="18"/>
      <x:c r="F9" s="18"/>
      <x:c r="G9" s="18"/>
      <x:c r="H9" s="18"/>
    </x:row>
    <x:row r="10" ht="48" customHeight="1">
      <x:c r="A10" s="30" t="str">
        <x:v>Para resolver los huecos del rango original se redondea el promedio a un decimal antes de clasificar: 1,75 → 1,8; 2,45 → 2,5. Los puntos individuales son 1, 2 y 3.</x:v>
      </x:c>
      <x:c r="B10" s="30"/>
      <x:c r="C10" s="30"/>
      <x:c r="D10" s="30"/>
      <x:c r="E10" s="30"/>
      <x:c r="F10" s="30"/>
      <x:c r="G10" s="30"/>
      <x:c r="H10" s="30"/>
    </x:row>
    <x:row r="11" ht="48" customHeight="1">
      <x:c r="A11" s="18" t="str">
        <x:v>No se emite un nivel final de dimensión mientras falten puntuaciones fundamentadas o validación humana; el promedio parcial solo orienta el acompañamiento.</x:v>
      </x:c>
      <x:c r="B11" s="18"/>
      <x:c r="C11" s="18"/>
      <x:c r="D11" s="18"/>
      <x:c r="E11" s="18"/>
      <x:c r="F11" s="18"/>
      <x:c r="G11" s="18"/>
      <x:c r="H11" s="18"/>
    </x:row>
    <x:row r="12" ht="48" customHeight="1">
      <x:c r="A12" s="30" t="str">
        <x:v>No se obtiene una única nota final mediante promedio automático de las cuatro dimensiones. Una calificación formal requiere acuerdo docente sobre ponderaciones, evidencias y criterios.</x:v>
      </x:c>
      <x:c r="B12" s="30"/>
      <x:c r="C12" s="30"/>
      <x:c r="D12" s="30"/>
      <x:c r="E12" s="30"/>
      <x:c r="F12" s="30"/>
      <x:c r="G12" s="30"/>
      <x:c r="H12" s="30"/>
    </x:row>
    <x:row r="13" ht="48" customHeight="1">
      <x:c r="A13" s="18" t="str">
        <x:v>La rúbrica 2025 adjunta se refiere a 7.º básico–4.º medio; se utiliza como referente para adaptar Práctica III, no como instrumento oficial de evaluación docente ni como norma universal para otros niveles.</x:v>
      </x:c>
      <x:c r="B13" s="18"/>
      <x:c r="C13" s="18"/>
      <x:c r="D13" s="18"/>
      <x:c r="E13" s="18"/>
      <x:c r="F13" s="18"/>
      <x:c r="G13" s="18"/>
      <x:c r="H13" s="18"/>
    </x:row>
    <x:row r="14" ht="48" customHeight="1">
      <x:c r="A14" s="30" t="str">
        <x:v>La cuarta dimensión y los descriptores reformulados son propuesta del equipo de Práctica III, NO citas textuales ni indicadores oficiales del Portafolio.</x:v>
      </x:c>
      <x:c r="B14" s="30"/>
      <x:c r="C14" s="30"/>
      <x:c r="D14" s="30"/>
      <x:c r="E14" s="30"/>
      <x:c r="F14" s="30"/>
      <x:c r="G14" s="30"/>
      <x:c r="H14" s="30"/>
    </x:row>
    <x:row r="17" ht="29" customHeight="1">
      <x:c r="A17" s="13" t="str">
        <x:v>FUENTES Y TRAZABILIDAD</x:v>
      </x:c>
      <x:c r="B17" s="13"/>
      <x:c r="C17" s="13"/>
      <x:c r="D17" s="13"/>
      <x:c r="E17" s="13"/>
      <x:c r="F17" s="13"/>
      <x:c r="G17" s="13"/>
      <x:c r="H17" s="13"/>
    </x:row>
    <x:row r="18" ht="70" customHeight="1">
      <x:c r="A18" s="20" t="str">
        <x:v>Fuente original</x:v>
      </x:c>
      <x:c r="B18" s="20" t="str">
        <x:v>Matriz de Samuel, archivo «matriz_analisis_secuencias_didacticas.xlsx».</x:v>
      </x:c>
      <x:c r="C18" s="20" t="str">
        <x:v>Tres dimensiones; quince criterios; tres descriptores por criterio.</x:v>
      </x:c>
      <x:c r="D18" s="20" t="str">
        <x:v>Material entregado por el usuario.</x:v>
      </x:c>
      <x:c r="E18" s="20"/>
      <x:c r="F18" s="20"/>
      <x:c r="G18" s="20"/>
      <x:c r="H18" s="20"/>
    </x:row>
    <x:row r="19" ht="70" customHeight="1">
      <x:c r="A19" s="20" t="str">
        <x:v>Referente 2025</x:v>
      </x:c>
      <x:c r="B19" s="20" t="str">
        <x:v>«Rúbricas 7º Básico a 4º Medio Asignaturas 2025», Módulo 1.</x:v>
      </x:c>
      <x:c r="C19" s="20" t="str">
        <x:v>Tarea 1, pp. 4–7; Tarea 2, pp. 8–10.</x:v>
      </x:c>
      <x:c r="D19" s="20" t="str">
        <x:v>PDF facilitado por el usuario.</x:v>
      </x:c>
      <x:c r="E19" s="20"/>
      <x:c r="F19" s="20"/>
      <x:c r="G19" s="20"/>
      <x:c r="H19" s="20"/>
    </x:row>
    <x:row r="20" ht="70" customHeight="1">
      <x:c r="A20" s="20" t="str">
        <x:v>Referente 2025</x:v>
      </x:c>
      <x:c r="B20" s="20" t="str">
        <x:v>«Rúbricas 7º Básico a 4º Medio Asignaturas 2025», Módulo 2.</x:v>
      </x:c>
      <x:c r="C20" s="20" t="str">
        <x:v>Clase grabada, pp. 17, 19–21, 24–25.</x:v>
      </x:c>
      <x:c r="D20" s="20" t="str">
        <x:v>PDF facilitado por el usuario.</x:v>
      </x:c>
      <x:c r="E20" s="20"/>
      <x:c r="F20" s="20"/>
      <x:c r="G20" s="20"/>
      <x:c r="H20" s="20"/>
    </x:row>
    <x:row r="21" ht="70" customHeight="1">
      <x:c r="A21" s="20" t="str">
        <x:v>Adaptación del equipo</x:v>
      </x:c>
      <x:c r="B21" s="20" t="str">
        <x:v>Dimensión 4; evidencias IA; criterios 1.3, 2.2, 2.4, 3.3 y 3.4.</x:v>
      </x:c>
      <x:c r="C21" s="20" t="str">
        <x:v>Propuesta formativa propia, no rúbrica ministerial literal.</x:v>
      </x:c>
      <x:c r="D21" s="20" t="str">
        <x:v>Versión de trabajo para Práctica III.</x:v>
      </x:c>
      <x:c r="E21" s="20"/>
      <x:c r="F21" s="20"/>
      <x:c r="G21" s="20"/>
      <x:c r="H21" s="20"/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4:H14"/>
    <x:mergeCell ref="A17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53" hidden="0" customWidth="1"/>
    <x:col min="4" max="4" width="27" hidden="0" customWidth="1"/>
    <x:col min="5" max="5" width="12" hidden="0" customWidth="1"/>
    <x:col min="6" max="6" width="66" hidden="0" customWidth="1"/>
    <x:col min="7" max="7" width="45" hidden="0" customWidth="1"/>
    <x:col min="8" max="8" width="66" hidden="0" customWidth="1"/>
    <x:col min="9" max="9" width="62" hidden="0" customWidth="1"/>
    <x:col min="10" max="10" width="20" hidden="0" customWidth="1"/>
    <x:col min="11" max="11" width="57" hidden="0" customWidth="1"/>
    <x:col min="12" max="12" width="30" hidden="0" customWidth="1"/>
  </x:cols>
  <x:sheetData>
    <x:row r="1" ht="38" customHeight="1">
      <x:c r="A1" s="5" t="str">
        <x:v>REGISTRO DE EVIDENCIAS Y VALORACIONES  |  19 criterios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8" customHeight="1">
      <x:c r="A2" s="34" t="str">
        <x:v>Completar una fila por criterio. La IA propone; quien acompaña valida. Sin cita y ubicación verificables, no se asignan puntos. Los promedios parciales no son notas.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9" customHeight="1">
      <x:c r="A3" t="str">
        <x:v>ESTUDIANTE:</x:v>
      </x:c>
      <x:c r="B3"/>
      <x:c r="C3" t="str">
        <x:v>CURSO/NIVEL:</x:v>
      </x:c>
      <x:c r="D3"/>
      <x:c r="E3" t="str">
        <x:v>ESTABLECIMIENTO:</x:v>
      </x:c>
      <x:c r="F3"/>
      <x:c r="G3" t="str">
        <x:v>SECUENCIA:</x:v>
      </x:c>
      <x:c r="H3"/>
      <x:c r="I3" t="str">
        <x:v>REVISOR/A:</x:v>
      </x:c>
      <x:c r="J3"/>
      <x:c r="K3" t="str">
        <x:v>FECHA:</x:v>
      </x:c>
      <x:c r="L3"/>
    </x:row>
    <x:row r="5" ht="43" customHeight="1">
      <x:c r="A5" s="13" t="str">
        <x:v>Código</x:v>
      </x:c>
      <x:c r="B5" s="13" t="str">
        <x:v>Dimensión</x:v>
      </x:c>
      <x:c r="C5" s="13" t="str">
        <x:v>Criterio</x:v>
      </x:c>
      <x:c r="D5" s="13" t="str">
        <x:v>Nivel propuesto / validado</x:v>
      </x:c>
      <x:c r="E5" s="13" t="str">
        <x:v>Puntos</x:v>
      </x:c>
      <x:c r="F5" s="13" t="str">
        <x:v>Cita textual / descripción observacional</x:v>
      </x:c>
      <x:c r="G5" s="13" t="str">
        <x:v>Documento + minuto/página/ID</x:v>
      </x:c>
      <x:c r="H5" s="13" t="str">
        <x:v>Justificación vinculada al descriptor</x:v>
      </x:c>
      <x:c r="I5" s="13" t="str">
        <x:v>Siguiente paso formativo</x:v>
      </x:c>
      <x:c r="J5" s="13" t="str">
        <x:v>Revisión humana</x:v>
      </x:c>
      <x:c r="K5" s="13" t="str">
        <x:v>Comentario / decisión humana</x:v>
      </x:c>
      <x:c r="L5" s="13" t="str">
        <x:v>Estado de evidencia</x:v>
      </x:c>
    </x:row>
    <x:row r="6" ht="78" customHeight="1">
      <x:c r="A6" s="25" t="str">
        <x:v>1.1</x:v>
      </x:c>
      <x:c r="B6" s="25" t="str">
        <x:v>1. Planificación</x:v>
      </x:c>
      <x:c r="C6" s="25" t="str">
        <x:v>1.1 Objetivos de aprendizaje y habilidades matemáticas</x:v>
      </x:c>
      <x:c r="D6" s="36"/>
      <x:c r="E6" s="42" t="str">
        <x:f>IF(OR(D6="",D6="Evidencia insuficiente",F6="",G6=""),"",IF(D6="Destacado",'Escala y fuentes'!$H$3,IF(D6="Competente",'Escala y fuentes'!$H$4,IF(D6="Básico",'Escala y fuentes'!$H$5,""))))</x:f>
      </x:c>
      <x:c r="F6" s="38"/>
      <x:c r="G6" s="38"/>
      <x:c r="H6" s="20"/>
      <x:c r="I6" s="20"/>
      <x:c r="J6" s="40" t="str">
        <x:v>Pendiente</x:v>
      </x:c>
      <x:c r="K6" s="20"/>
      <x:c r="L6" s="20" t="str">
        <x:f>IF(D6="","Sin valorar",IF(D6="Evidencia insuficiente","Falta evidencia",IF(OR(F6="",G6=""),"Cita/ubicación pendiente",IF(J6="Validado","Validado",IF(J6="Ajustar","Revisar","Revisión pendiente")))))</x:f>
        <x:v>Sin valorar</x:v>
      </x:c>
    </x:row>
    <x:row r="7" ht="78" customHeight="1">
      <x:c r="A7" s="25" t="str">
        <x:v>1.2</x:v>
      </x:c>
      <x:c r="B7" s="25" t="str">
        <x:v>1. Planificación</x:v>
      </x:c>
      <x:c r="C7" s="25" t="str">
        <x:v>1.2 Selección y secuenciación de las tareas matemáticas</x:v>
      </x:c>
      <x:c r="D7" s="36"/>
      <x:c r="E7" s="42" t="str">
        <x:f>IF(OR(D7="",D7="Evidencia insuficiente",F7="",G7=""),"",IF(D7="Destacado",'Escala y fuentes'!$H$3,IF(D7="Competente",'Escala y fuentes'!$H$4,IF(D7="Básico",'Escala y fuentes'!$H$5,""))))</x:f>
      </x:c>
      <x:c r="F7" s="38"/>
      <x:c r="G7" s="38"/>
      <x:c r="H7" s="20"/>
      <x:c r="I7" s="20"/>
      <x:c r="J7" s="40" t="str">
        <x:v>Pendiente</x:v>
      </x:c>
      <x:c r="K7" s="20"/>
      <x:c r="L7" s="20" t="str">
        <x:f>IF(D7="","Sin valorar",IF(D7="Evidencia insuficiente","Falta evidencia",IF(OR(F7="",G7=""),"Cita/ubicación pendiente",IF(J7="Validado","Validado",IF(J7="Ajustar","Revisar","Revisión pendiente")))))</x:f>
        <x:v>Sin valorar</x:v>
      </x:c>
    </x:row>
    <x:row r="8" ht="78" customHeight="1">
      <x:c r="A8" s="25" t="str">
        <x:v>1.3</x:v>
      </x:c>
      <x:c r="B8" s="25" t="str">
        <x:v>1. Planificación</x:v>
      </x:c>
      <x:c r="C8" s="25" t="str">
        <x:v>1.3 Anticipación de dificultades y errores de los estudiantes</x:v>
      </x:c>
      <x:c r="D8" s="36"/>
      <x:c r="E8" s="42" t="str">
        <x:f>IF(OR(D8="",D8="Evidencia insuficiente",F8="",G8=""),"",IF(D8="Destacado",'Escala y fuentes'!$H$3,IF(D8="Competente",'Escala y fuentes'!$H$4,IF(D8="Básico",'Escala y fuentes'!$H$5,""))))</x:f>
      </x:c>
      <x:c r="F8" s="38"/>
      <x:c r="G8" s="38"/>
      <x:c r="H8" s="20"/>
      <x:c r="I8" s="20"/>
      <x:c r="J8" s="40" t="str">
        <x:v>Pendiente</x:v>
      </x:c>
      <x:c r="K8" s="20"/>
      <x:c r="L8" s="20" t="str">
        <x:f>IF(D8="","Sin valorar",IF(D8="Evidencia insuficiente","Falta evidencia",IF(OR(F8="",G8=""),"Cita/ubicación pendiente",IF(J8="Validado","Validado",IF(J8="Ajustar","Revisar","Revisión pendiente")))))</x:f>
        <x:v>Sin valorar</x:v>
      </x:c>
    </x:row>
    <x:row r="9" ht="78" customHeight="1">
      <x:c r="A9" s="25" t="str">
        <x:v>1.4</x:v>
      </x:c>
      <x:c r="B9" s="25" t="str">
        <x:v>1. Planificación</x:v>
      </x:c>
      <x:c r="C9" s="25" t="str">
        <x:v>1.4 Gestión pedagógica de los errores anticipados</x:v>
      </x:c>
      <x:c r="D9" s="36"/>
      <x:c r="E9" s="42" t="str">
        <x:f>IF(OR(D9="",D9="Evidencia insuficiente",F9="",G9=""),"",IF(D9="Destacado",'Escala y fuentes'!$H$3,IF(D9="Competente",'Escala y fuentes'!$H$4,IF(D9="Básico",'Escala y fuentes'!$H$5,""))))</x:f>
      </x:c>
      <x:c r="F9" s="38"/>
      <x:c r="G9" s="38"/>
      <x:c r="H9" s="20"/>
      <x:c r="I9" s="20"/>
      <x:c r="J9" s="40" t="str">
        <x:v>Pendiente</x:v>
      </x:c>
      <x:c r="K9" s="20"/>
      <x:c r="L9" s="20" t="str">
        <x:f>IF(D9="","Sin valorar",IF(D9="Evidencia insuficiente","Falta evidencia",IF(OR(F9="",G9=""),"Cita/ubicación pendiente",IF(J9="Validado","Validado",IF(J9="Ajustar","Revisar","Revisión pendiente")))))</x:f>
        <x:v>Sin valorar</x:v>
      </x:c>
    </x:row>
    <x:row r="10" ht="78" customHeight="1">
      <x:c r="A10" s="25" t="str">
        <x:v>1.5</x:v>
      </x:c>
      <x:c r="B10" s="25" t="str">
        <x:v>1. Planificación</x:v>
      </x:c>
      <x:c r="C10" s="25" t="str">
        <x:v>1.5 Consideración de la diversidad y el contexto de los estudiantes</x:v>
      </x:c>
      <x:c r="D10" s="36"/>
      <x:c r="E10" s="42" t="str">
        <x:f>IF(OR(D10="",D10="Evidencia insuficiente",F10="",G10=""),"",IF(D10="Destacado",'Escala y fuentes'!$H$3,IF(D10="Competente",'Escala y fuentes'!$H$4,IF(D10="Básico",'Escala y fuentes'!$H$5,""))))</x:f>
      </x:c>
      <x:c r="F10" s="38"/>
      <x:c r="G10" s="38"/>
      <x:c r="H10" s="20"/>
      <x:c r="I10" s="20"/>
      <x:c r="J10" s="40" t="str">
        <x:v>Pendiente</x:v>
      </x:c>
      <x:c r="K10" s="20"/>
      <x:c r="L10" s="20" t="str">
        <x:f>IF(D10="","Sin valorar",IF(D10="Evidencia insuficiente","Falta evidencia",IF(OR(F10="",G10=""),"Cita/ubicación pendiente",IF(J10="Validado","Validado",IF(J10="Ajustar","Revisar","Revisión pendiente")))))</x:f>
        <x:v>Sin valorar</x:v>
      </x:c>
    </x:row>
    <x:row r="11" ht="78" customHeight="1">
      <x:c r="A11" s="25" t="str">
        <x:v>2.1</x:v>
      </x:c>
      <x:c r="B11" s="25" t="str">
        <x:v>2. Implementación</x:v>
      </x:c>
      <x:c r="C11" s="25" t="str">
        <x:v>2.1 Habilidades matemáticas promovidas en la implementación</x:v>
      </x:c>
      <x:c r="D11" s="36"/>
      <x:c r="E11" s="42" t="str">
        <x:f>IF(OR(D11="",D11="Evidencia insuficiente",F11="",G11=""),"",IF(D11="Destacado",'Escala y fuentes'!$H$3,IF(D11="Competente",'Escala y fuentes'!$H$4,IF(D11="Básico",'Escala y fuentes'!$H$5,""))))</x:f>
      </x:c>
      <x:c r="F11" s="38"/>
      <x:c r="G11" s="38"/>
      <x:c r="H11" s="20"/>
      <x:c r="I11" s="20"/>
      <x:c r="J11" s="40" t="str">
        <x:v>Pendiente</x:v>
      </x:c>
      <x:c r="K11" s="20"/>
      <x:c r="L11" s="20" t="str">
        <x:f>IF(D11="","Sin valorar",IF(D11="Evidencia insuficiente","Falta evidencia",IF(OR(F11="",G11=""),"Cita/ubicación pendiente",IF(J11="Validado","Validado",IF(J11="Ajustar","Revisar","Revisión pendiente")))))</x:f>
        <x:v>Sin valorar</x:v>
      </x:c>
    </x:row>
    <x:row r="12" ht="78" customHeight="1">
      <x:c r="A12" s="25" t="str">
        <x:v>2.2</x:v>
      </x:c>
      <x:c r="B12" s="25" t="str">
        <x:v>2. Implementación</x:v>
      </x:c>
      <x:c r="C12" s="25" t="str">
        <x:v>2.2 Monitoreo e interpretación de los desempeños</x:v>
      </x:c>
      <x:c r="D12" s="36"/>
      <x:c r="E12" s="42" t="str">
        <x:f>IF(OR(D12="",D12="Evidencia insuficiente",F12="",G12=""),"",IF(D12="Destacado",'Escala y fuentes'!$H$3,IF(D12="Competente",'Escala y fuentes'!$H$4,IF(D12="Básico",'Escala y fuentes'!$H$5,""))))</x:f>
      </x:c>
      <x:c r="F12" s="38"/>
      <x:c r="G12" s="38"/>
      <x:c r="H12" s="20"/>
      <x:c r="I12" s="20"/>
      <x:c r="J12" s="40" t="str">
        <x:v>Pendiente</x:v>
      </x:c>
      <x:c r="K12" s="20"/>
      <x:c r="L12" s="20" t="str">
        <x:f>IF(D12="","Sin valorar",IF(D12="Evidencia insuficiente","Falta evidencia",IF(OR(F12="",G12=""),"Cita/ubicación pendiente",IF(J12="Validado","Validado",IF(J12="Ajustar","Revisar","Revisión pendiente")))))</x:f>
        <x:v>Sin valorar</x:v>
      </x:c>
    </x:row>
    <x:row r="13" ht="78" customHeight="1">
      <x:c r="A13" s="25" t="str">
        <x:v>2.3</x:v>
      </x:c>
      <x:c r="B13" s="25" t="str">
        <x:v>2. Implementación</x:v>
      </x:c>
      <x:c r="C13" s="25" t="str">
        <x:v>2.3 Gestión de situaciones comunicativas y preguntas para el debate matemático</x:v>
      </x:c>
      <x:c r="D13" s="36"/>
      <x:c r="E13" s="42" t="str">
        <x:f>IF(OR(D13="",D13="Evidencia insuficiente",F13="",G13=""),"",IF(D13="Destacado",'Escala y fuentes'!$H$3,IF(D13="Competente",'Escala y fuentes'!$H$4,IF(D13="Básico",'Escala y fuentes'!$H$5,""))))</x:f>
      </x:c>
      <x:c r="F13" s="38"/>
      <x:c r="G13" s="38"/>
      <x:c r="H13" s="20"/>
      <x:c r="I13" s="20"/>
      <x:c r="J13" s="40" t="str">
        <x:v>Pendiente</x:v>
      </x:c>
      <x:c r="K13" s="20"/>
      <x:c r="L13" s="20" t="str">
        <x:f>IF(D13="","Sin valorar",IF(D13="Evidencia insuficiente","Falta evidencia",IF(OR(F13="",G13=""),"Cita/ubicación pendiente",IF(J13="Validado","Validado",IF(J13="Ajustar","Revisar","Revisión pendiente")))))</x:f>
        <x:v>Sin valorar</x:v>
      </x:c>
    </x:row>
    <x:row r="14" ht="78" customHeight="1">
      <x:c r="A14" s="25" t="str">
        <x:v>2.4</x:v>
      </x:c>
      <x:c r="B14" s="25" t="str">
        <x:v>2. Implementación</x:v>
      </x:c>
      <x:c r="C14" s="25" t="str">
        <x:v>2.4 Pertinencia de los medios didácticos</x:v>
      </x:c>
      <x:c r="D14" s="36"/>
      <x:c r="E14" s="42" t="str">
        <x:f>IF(OR(D14="",D14="Evidencia insuficiente",F14="",G14=""),"",IF(D14="Destacado",'Escala y fuentes'!$H$3,IF(D14="Competente",'Escala y fuentes'!$H$4,IF(D14="Básico",'Escala y fuentes'!$H$5,""))))</x:f>
      </x:c>
      <x:c r="F14" s="38"/>
      <x:c r="G14" s="38"/>
      <x:c r="H14" s="20"/>
      <x:c r="I14" s="20"/>
      <x:c r="J14" s="40" t="str">
        <x:v>Pendiente</x:v>
      </x:c>
      <x:c r="K14" s="20"/>
      <x:c r="L14" s="20" t="str">
        <x:f>IF(D14="","Sin valorar",IF(D14="Evidencia insuficiente","Falta evidencia",IF(OR(F14="",G14=""),"Cita/ubicación pendiente",IF(J14="Validado","Validado",IF(J14="Ajustar","Revisar","Revisión pendiente")))))</x:f>
        <x:v>Sin valorar</x:v>
      </x:c>
    </x:row>
    <x:row r="15" ht="78" customHeight="1">
      <x:c r="A15" s="25" t="str">
        <x:v>2.5</x:v>
      </x:c>
      <x:c r="B15" s="25" t="str">
        <x:v>2. Implementación</x:v>
      </x:c>
      <x:c r="C15" s="25" t="str">
        <x:v>2.5 Elementos de inclusión, equidad y género</x:v>
      </x:c>
      <x:c r="D15" s="36"/>
      <x:c r="E15" s="42" t="str">
        <x:f>IF(OR(D15="",D15="Evidencia insuficiente",F15="",G15=""),"",IF(D15="Destacado",'Escala y fuentes'!$H$3,IF(D15="Competente",'Escala y fuentes'!$H$4,IF(D15="Básico",'Escala y fuentes'!$H$5,""))))</x:f>
      </x:c>
      <x:c r="F15" s="38"/>
      <x:c r="G15" s="38"/>
      <x:c r="H15" s="20"/>
      <x:c r="I15" s="20"/>
      <x:c r="J15" s="40" t="str">
        <x:v>Pendiente</x:v>
      </x:c>
      <x:c r="K15" s="20"/>
      <x:c r="L15" s="20" t="str">
        <x:f>IF(D15="","Sin valorar",IF(D15="Evidencia insuficiente","Falta evidencia",IF(OR(F15="",G15=""),"Cita/ubicación pendiente",IF(J15="Validado","Validado",IF(J15="Ajustar","Revisar","Revisión pendiente")))))</x:f>
        <x:v>Sin valorar</x:v>
      </x:c>
    </x:row>
    <x:row r="16" ht="78" customHeight="1">
      <x:c r="A16" s="25" t="str">
        <x:v>2.6</x:v>
      </x:c>
      <x:c r="B16" s="25" t="str">
        <x:v>2. Implementación</x:v>
      </x:c>
      <x:c r="C16" s="25" t="str">
        <x:v>2.6 Idoneidad epistémica de las tareas matemáticas</x:v>
      </x:c>
      <x:c r="D16" s="36"/>
      <x:c r="E16" s="42" t="str">
        <x:f>IF(OR(D16="",D16="Evidencia insuficiente",F16="",G16=""),"",IF(D16="Destacado",'Escala y fuentes'!$H$3,IF(D16="Competente",'Escala y fuentes'!$H$4,IF(D16="Básico",'Escala y fuentes'!$H$5,""))))</x:f>
      </x:c>
      <x:c r="F16" s="38"/>
      <x:c r="G16" s="38"/>
      <x:c r="H16" s="20"/>
      <x:c r="I16" s="20"/>
      <x:c r="J16" s="40" t="str">
        <x:v>Pendiente</x:v>
      </x:c>
      <x:c r="K16" s="20"/>
      <x:c r="L16" s="20" t="str">
        <x:f>IF(D16="","Sin valorar",IF(D16="Evidencia insuficiente","Falta evidencia",IF(OR(F16="",G16=""),"Cita/ubicación pendiente",IF(J16="Validado","Validado",IF(J16="Ajustar","Revisar","Revisión pendiente")))))</x:f>
        <x:v>Sin valorar</x:v>
      </x:c>
    </x:row>
    <x:row r="17" ht="78" customHeight="1">
      <x:c r="A17" s="25" t="str">
        <x:v>3.1</x:v>
      </x:c>
      <x:c r="B17" s="25" t="str">
        <x:v>3. Evaluación</x:v>
      </x:c>
      <x:c r="C17" s="25" t="str">
        <x:v>3.1 Indicadores de evaluación</x:v>
      </x:c>
      <x:c r="D17" s="36"/>
      <x:c r="E17" s="42" t="str">
        <x:f>IF(OR(D17="",D17="Evidencia insuficiente",F17="",G17=""),"",IF(D17="Destacado",'Escala y fuentes'!$H$3,IF(D17="Competente",'Escala y fuentes'!$H$4,IF(D17="Básico",'Escala y fuentes'!$H$5,""))))</x:f>
      </x:c>
      <x:c r="F17" s="38"/>
      <x:c r="G17" s="38"/>
      <x:c r="H17" s="20"/>
      <x:c r="I17" s="20"/>
      <x:c r="J17" s="40" t="str">
        <x:v>Pendiente</x:v>
      </x:c>
      <x:c r="K17" s="20"/>
      <x:c r="L17" s="20" t="str">
        <x:f>IF(D17="","Sin valorar",IF(D17="Evidencia insuficiente","Falta evidencia",IF(OR(F17="",G17=""),"Cita/ubicación pendiente",IF(J17="Validado","Validado",IF(J17="Ajustar","Revisar","Revisión pendiente")))))</x:f>
        <x:v>Sin valorar</x:v>
      </x:c>
    </x:row>
    <x:row r="18" ht="78" customHeight="1">
      <x:c r="A18" s="25" t="str">
        <x:v>3.2</x:v>
      </x:c>
      <x:c r="B18" s="25" t="str">
        <x:v>3. Evaluación</x:v>
      </x:c>
      <x:c r="C18" s="25" t="str">
        <x:v>3.2 Tipo de instrumento de evaluación</x:v>
      </x:c>
      <x:c r="D18" s="36"/>
      <x:c r="E18" s="42" t="str">
        <x:f>IF(OR(D18="",D18="Evidencia insuficiente",F18="",G18=""),"",IF(D18="Destacado",'Escala y fuentes'!$H$3,IF(D18="Competente",'Escala y fuentes'!$H$4,IF(D18="Básico",'Escala y fuentes'!$H$5,""))))</x:f>
      </x:c>
      <x:c r="F18" s="38"/>
      <x:c r="G18" s="38"/>
      <x:c r="H18" s="20"/>
      <x:c r="I18" s="20"/>
      <x:c r="J18" s="40" t="str">
        <x:v>Pendiente</x:v>
      </x:c>
      <x:c r="K18" s="20"/>
      <x:c r="L18" s="20" t="str">
        <x:f>IF(D18="","Sin valorar",IF(D18="Evidencia insuficiente","Falta evidencia",IF(OR(F18="",G18=""),"Cita/ubicación pendiente",IF(J18="Validado","Validado",IF(J18="Ajustar","Revisar","Revisión pendiente")))))</x:f>
        <x:v>Sin valorar</x:v>
      </x:c>
    </x:row>
    <x:row r="19" ht="78" customHeight="1">
      <x:c r="A19" s="25" t="str">
        <x:v>3.3</x:v>
      </x:c>
      <x:c r="B19" s="25" t="str">
        <x:v>3. Evaluación</x:v>
      </x:c>
      <x:c r="C19" s="25" t="str">
        <x:v>3.3 Pertinencia y uso de acciones evaluativas</x:v>
      </x:c>
      <x:c r="D19" s="36"/>
      <x:c r="E19" s="42" t="str">
        <x:f>IF(OR(D19="",D19="Evidencia insuficiente",F19="",G19=""),"",IF(D19="Destacado",'Escala y fuentes'!$H$3,IF(D19="Competente",'Escala y fuentes'!$H$4,IF(D19="Básico",'Escala y fuentes'!$H$5,""))))</x:f>
      </x:c>
      <x:c r="F19" s="38"/>
      <x:c r="G19" s="38"/>
      <x:c r="H19" s="20"/>
      <x:c r="I19" s="20"/>
      <x:c r="J19" s="40" t="str">
        <x:v>Pendiente</x:v>
      </x:c>
      <x:c r="K19" s="20"/>
      <x:c r="L19" s="20" t="str">
        <x:f>IF(D19="","Sin valorar",IF(D19="Evidencia insuficiente","Falta evidencia",IF(OR(F19="",G19=""),"Cita/ubicación pendiente",IF(J19="Validado","Validado",IF(J19="Ajustar","Revisar","Revisión pendiente")))))</x:f>
        <x:v>Sin valorar</x:v>
      </x:c>
    </x:row>
    <x:row r="20" ht="78" customHeight="1">
      <x:c r="A20" s="25" t="str">
        <x:v>3.4</x:v>
      </x:c>
      <x:c r="B20" s="25" t="str">
        <x:v>3. Evaluación</x:v>
      </x:c>
      <x:c r="C20" s="25" t="str">
        <x:v>3.4 Análisis de resultados y uso formativo</x:v>
      </x:c>
      <x:c r="D20" s="36"/>
      <x:c r="E20" s="42" t="str">
        <x:f>IF(OR(D20="",D20="Evidencia insuficiente",F20="",G20=""),"",IF(D20="Destacado",'Escala y fuentes'!$H$3,IF(D20="Competente",'Escala y fuentes'!$H$4,IF(D20="Básico",'Escala y fuentes'!$H$5,""))))</x:f>
      </x:c>
      <x:c r="F20" s="38"/>
      <x:c r="G20" s="38"/>
      <x:c r="H20" s="20"/>
      <x:c r="I20" s="20"/>
      <x:c r="J20" s="40" t="str">
        <x:v>Pendiente</x:v>
      </x:c>
      <x:c r="K20" s="20"/>
      <x:c r="L20" s="20" t="str">
        <x:f>IF(D20="","Sin valorar",IF(D20="Evidencia insuficiente","Falta evidencia",IF(OR(F20="",G20=""),"Cita/ubicación pendiente",IF(J20="Validado","Validado",IF(J20="Ajustar","Revisar","Revisión pendiente")))))</x:f>
        <x:v>Sin valorar</x:v>
      </x:c>
    </x:row>
    <x:row r="21" ht="78" customHeight="1">
      <x:c r="A21" s="25" t="str">
        <x:v>4.1</x:v>
      </x:c>
      <x:c r="B21" s="25" t="str">
        <x:v>4. Coherencia y reflexión</x:v>
      </x:c>
      <x:c r="C21" s="25" t="str">
        <x:v>4.1 Coherencia entre objetivos planificados y aprendizajes abordados</x:v>
      </x:c>
      <x:c r="D21" s="36"/>
      <x:c r="E21" s="42" t="str">
        <x:f>IF(OR(D21="",D21="Evidencia insuficiente",F21="",G21=""),"",IF(D21="Destacado",'Escala y fuentes'!$H$3,IF(D21="Competente",'Escala y fuentes'!$H$4,IF(D21="Básico",'Escala y fuentes'!$H$5,""))))</x:f>
      </x:c>
      <x:c r="F21" s="38"/>
      <x:c r="G21" s="38"/>
      <x:c r="H21" s="20"/>
      <x:c r="I21" s="20"/>
      <x:c r="J21" s="40" t="str">
        <x:v>Pendiente</x:v>
      </x:c>
      <x:c r="K21" s="20"/>
      <x:c r="L21" s="20" t="str">
        <x:f>IF(D21="","Sin valorar",IF(D21="Evidencia insuficiente","Falta evidencia",IF(OR(F21="",G21=""),"Cita/ubicación pendiente",IF(J21="Validado","Validado",IF(J21="Ajustar","Revisar","Revisión pendiente")))))</x:f>
        <x:v>Sin valorar</x:v>
      </x:c>
    </x:row>
    <x:row r="22" ht="78" customHeight="1">
      <x:c r="A22" s="25" t="str">
        <x:v>4.2</x:v>
      </x:c>
      <x:c r="B22" s="25" t="str">
        <x:v>4. Coherencia y reflexión</x:v>
      </x:c>
      <x:c r="C22" s="25" t="str">
        <x:v>4.2 Coherencia entre tareas planificadas e implementadas</x:v>
      </x:c>
      <x:c r="D22" s="36"/>
      <x:c r="E22" s="42" t="str">
        <x:f>IF(OR(D22="",D22="Evidencia insuficiente",F22="",G22=""),"",IF(D22="Destacado",'Escala y fuentes'!$H$3,IF(D22="Competente",'Escala y fuentes'!$H$4,IF(D22="Básico",'Escala y fuentes'!$H$5,""))))</x:f>
      </x:c>
      <x:c r="F22" s="38"/>
      <x:c r="G22" s="38"/>
      <x:c r="H22" s="20"/>
      <x:c r="I22" s="20"/>
      <x:c r="J22" s="40" t="str">
        <x:v>Pendiente</x:v>
      </x:c>
      <x:c r="K22" s="20"/>
      <x:c r="L22" s="20" t="str">
        <x:f>IF(D22="","Sin valorar",IF(D22="Evidencia insuficiente","Falta evidencia",IF(OR(F22="",G22=""),"Cita/ubicación pendiente",IF(J22="Validado","Validado",IF(J22="Ajustar","Revisar","Revisión pendiente")))))</x:f>
        <x:v>Sin valorar</x:v>
      </x:c>
    </x:row>
    <x:row r="23" ht="78" customHeight="1">
      <x:c r="A23" s="25" t="str">
        <x:v>4.3</x:v>
      </x:c>
      <x:c r="B23" s="25" t="str">
        <x:v>4. Coherencia y reflexión</x:v>
      </x:c>
      <x:c r="C23" s="25" t="str">
        <x:v>4.3 Gestión y fundamentación de ajustes durante la implementación</x:v>
      </x:c>
      <x:c r="D23" s="36"/>
      <x:c r="E23" s="42" t="str">
        <x:f>IF(OR(D23="",D23="Evidencia insuficiente",F23="",G23=""),"",IF(D23="Destacado",'Escala y fuentes'!$H$3,IF(D23="Competente",'Escala y fuentes'!$H$4,IF(D23="Básico",'Escala y fuentes'!$H$5,""))))</x:f>
      </x:c>
      <x:c r="F23" s="38"/>
      <x:c r="G23" s="38"/>
      <x:c r="H23" s="20"/>
      <x:c r="I23" s="20"/>
      <x:c r="J23" s="40" t="str">
        <x:v>Pendiente</x:v>
      </x:c>
      <x:c r="K23" s="20"/>
      <x:c r="L23" s="20" t="str">
        <x:f>IF(D23="","Sin valorar",IF(D23="Evidencia insuficiente","Falta evidencia",IF(OR(F23="",G23=""),"Cita/ubicación pendiente",IF(J23="Validado","Validado",IF(J23="Ajustar","Revisar","Revisión pendiente")))))</x:f>
        <x:v>Sin valorar</x:v>
      </x:c>
    </x:row>
    <x:row r="24" ht="78" customHeight="1">
      <x:c r="A24" s="25" t="str">
        <x:v>4.4</x:v>
      </x:c>
      <x:c r="B24" s="25" t="str">
        <x:v>4. Coherencia y reflexión</x:v>
      </x:c>
      <x:c r="C24" s="25" t="str">
        <x:v>4.4 Coherencia entre enseñanza, evaluación y decisiones posteriores</x:v>
      </x:c>
      <x:c r="D24" s="36"/>
      <x:c r="E24" s="42" t="str">
        <x:f>IF(OR(D24="",D24="Evidencia insuficiente",F24="",G24=""),"",IF(D24="Destacado",'Escala y fuentes'!$H$3,IF(D24="Competente",'Escala y fuentes'!$H$4,IF(D24="Básico",'Escala y fuentes'!$H$5,""))))</x:f>
      </x:c>
      <x:c r="F24" s="38"/>
      <x:c r="G24" s="38"/>
      <x:c r="H24" s="20"/>
      <x:c r="I24" s="20"/>
      <x:c r="J24" s="40" t="str">
        <x:v>Pendiente</x:v>
      </x:c>
      <x:c r="K24" s="20"/>
      <x:c r="L24" s="20" t="str">
        <x:f>IF(D24="","Sin valorar",IF(D24="Evidencia insuficiente","Falta evidencia",IF(OR(F24="",G24=""),"Cita/ubicación pendiente",IF(J24="Validado","Validado",IF(J24="Ajustar","Revisar","Revisión pendiente")))))</x:f>
        <x:v>Sin valorar</x:v>
      </x:c>
    </x:row>
  </x:sheetData>
  <x:mergeCells>
    <x:mergeCell ref="A1:L1"/>
    <x:mergeCell ref="A2:L2"/>
  </x:mergeCells>
  <x:dataValidations count="2">
    <x:dataValidation type="list" sqref="D6:D24">
      <x:formula1>"Básico,Competente,Destacado,Evidencia insuficiente"</x:formula1>
    </x:dataValidation>
    <x:dataValidation type="list" sqref="J6:J24">
      <x:formula1>"Pendiente,Validado,Ajustar"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6" hidden="0" customWidth="1"/>
    <x:col min="4" max="4" width="20" hidden="0" customWidth="1"/>
    <x:col min="5" max="5" width="19" hidden="0" customWidth="1"/>
    <x:col min="6" max="6" width="29" hidden="0" customWidth="1"/>
    <x:col min="7" max="7" width="24" hidden="0" customWidth="1"/>
    <x:col min="8" max="8" width="65" hidden="0" customWidth="1"/>
  </x:cols>
  <x:sheetData>
    <x:row r="1" ht="38" customHeight="1">
      <x:c r="A1" s="5" t="str">
        <x:v>PANEL DE SEGUIMIENTO FORMATIVO | Práctica III</x:v>
      </x:c>
      <x:c r="B1" s="5"/>
      <x:c r="C1" s="5"/>
      <x:c r="D1" s="5"/>
      <x:c r="E1" s="5"/>
      <x:c r="F1" s="5"/>
      <x:c r="G1" s="5"/>
      <x:c r="H1" s="5"/>
    </x:row>
    <x:row r="2" ht="43" customHeight="1">
      <x:c r="A2" s="34" t="str">
        <x:v>Completar y validar las 19 filas de «Registro IA». El panel calcula promedios por dimensión y muestra el nivel solo cuando cada criterio cuenta con evidencia y validación humana.</x:v>
      </x:c>
      <x:c r="B2" s="34"/>
      <x:c r="C2" s="34"/>
      <x:c r="D2" s="34"/>
      <x:c r="E2" s="34"/>
      <x:c r="F2" s="34"/>
      <x:c r="G2" s="34"/>
      <x:c r="H2" s="34"/>
    </x:row>
    <x:row r="5" ht="43" customHeight="1">
      <x:c r="A5" s="13" t="str">
        <x:v>Dimensión</x:v>
      </x:c>
      <x:c r="B5" s="13" t="str">
        <x:v>Criterios</x:v>
      </x:c>
      <x:c r="C5" s="13" t="str">
        <x:v>Valorados</x:v>
      </x:c>
      <x:c r="D5" s="13" t="str">
        <x:v>Promedio parcial</x:v>
      </x:c>
      <x:c r="E5" s="13" t="str">
        <x:v>Nivel validado</x:v>
      </x:c>
      <x:c r="F5" s="13" t="str">
        <x:v>Estado</x:v>
      </x:c>
      <x:c r="G5" s="13" t="str">
        <x:v>Criterios por revisar</x:v>
      </x:c>
      <x:c r="H5" s="13" t="str">
        <x:v>Foco de acompañamiento</x:v>
      </x:c>
    </x:row>
    <x:row r="6" ht="78" customHeight="1">
      <x:c r="A6" s="22" t="str">
        <x:v>1. Planificación</x:v>
      </x:c>
      <x:c r="B6" s="20" t="n">
        <x:v>5</x:v>
      </x:c>
      <x:c r="C6" s="20" t="n">
        <x:f>COUNT('Registro IA'!$E$6:$E$10)</x:f>
        <x:v>0</x:v>
      </x:c>
      <x:c r="D6" s="32" t="str">
        <x:f>IF(C6=0,"",ROUND(AVERAGE('Registro IA'!$E$6:$E$10),1))</x:f>
      </x:c>
      <x:c r="E6" s="20" t="str">
        <x:f>IF(OR(C6&lt;B6,COUNTIF('Registro IA'!$J$6:$J$10,"Validado")&lt;B6),"Pendiente",IF(D6&gt;='Escala y fuentes'!$E$3,"Destacado",IF(D6&gt;='Escala y fuentes'!$E$4,"Competente","Básico")))</x:f>
        <x:v>Pendiente</x:v>
      </x:c>
      <x:c r="F6" s="20" t="str">
        <x:f>IF(C6=0,"Sin valorar",IF(C6&lt;B6,"Evidencia incompleta",IF(COUNTIF('Registro IA'!$J$6:$J$10,"Validado")&lt;B6,"Revisión humana pendiente","Cerrado")))</x:f>
        <x:v>Sin valorar</x:v>
      </x:c>
      <x:c r="G6" s="20" t="n">
        <x:f>B6-C6</x:f>
        <x:v>5</x:v>
      </x:c>
      <x:c r="H6" s="20" t="str">
        <x:v>OA, progresión, anticipaciones, diversidad y apoyos.</x:v>
      </x:c>
    </x:row>
    <x:row r="7" ht="78" customHeight="1">
      <x:c r="A7" s="22" t="str">
        <x:v>2. Implementación</x:v>
      </x:c>
      <x:c r="B7" s="20" t="n">
        <x:v>6</x:v>
      </x:c>
      <x:c r="C7" s="20" t="n">
        <x:f>COUNT('Registro IA'!$E$11:$E$16)</x:f>
        <x:v>0</x:v>
      </x:c>
      <x:c r="D7" s="32" t="str">
        <x:f>IF(C7=0,"",ROUND(AVERAGE('Registro IA'!$E$11:$E$16),1))</x:f>
      </x:c>
      <x:c r="E7" s="20" t="str">
        <x:f>IF(OR(C7&lt;B7,COUNTIF('Registro IA'!$J$11:$J$16,"Validado")&lt;B7),"Pendiente",IF(D7&gt;='Escala y fuentes'!$E$3,"Destacado",IF(D7&gt;='Escala y fuentes'!$E$4,"Competente","Básico")))</x:f>
        <x:v>Pendiente</x:v>
      </x:c>
      <x:c r="F7" s="20" t="str">
        <x:f>IF(C7=0,"Sin valorar",IF(C7&lt;B7,"Evidencia incompleta",IF(COUNTIF('Registro IA'!$J$11:$J$16,"Validado")&lt;B7,"Revisión humana pendiente","Cerrado")))</x:f>
        <x:v>Sin valorar</x:v>
      </x:c>
      <x:c r="G7" s="20" t="n">
        <x:f>B7-C7</x:f>
        <x:v>6</x:v>
      </x:c>
      <x:c r="H7" s="20" t="str">
        <x:v>Interacciones, monitoreo, recursos, inclusión y matemática puesta en juego.</x:v>
      </x:c>
    </x:row>
    <x:row r="8" ht="78" customHeight="1">
      <x:c r="A8" s="22" t="str">
        <x:v>3. Evaluación</x:v>
      </x:c>
      <x:c r="B8" s="20" t="n">
        <x:v>4</x:v>
      </x:c>
      <x:c r="C8" s="20" t="n">
        <x:f>COUNT('Registro IA'!$E$17:$E$20)</x:f>
        <x:v>0</x:v>
      </x:c>
      <x:c r="D8" s="32" t="str">
        <x:f>IF(C8=0,"",ROUND(AVERAGE('Registro IA'!$E$17:$E$20),1))</x:f>
      </x:c>
      <x:c r="E8" s="20" t="str">
        <x:f>IF(OR(C8&lt;B8,COUNTIF('Registro IA'!$J$17:$J$20,"Validado")&lt;B8),"Pendiente",IF(D8&gt;='Escala y fuentes'!$E$3,"Destacado",IF(D8&gt;='Escala y fuentes'!$E$4,"Competente","Básico")))</x:f>
        <x:v>Pendiente</x:v>
      </x:c>
      <x:c r="F8" s="20" t="str">
        <x:f>IF(C8=0,"Sin valorar",IF(C8&lt;B8,"Evidencia incompleta",IF(COUNTIF('Registro IA'!$J$17:$J$20,"Validado")&lt;B8,"Revisión humana pendiente","Cerrado")))</x:f>
        <x:v>Sin valorar</x:v>
      </x:c>
      <x:c r="G8" s="20" t="n">
        <x:f>B8-C8</x:f>
        <x:v>4</x:v>
      </x:c>
      <x:c r="H8" s="20" t="str">
        <x:v>Indicadores, instrumentos, uso de evidencias y decisiones.</x:v>
      </x:c>
    </x:row>
    <x:row r="9" ht="78" customHeight="1">
      <x:c r="A9" s="22" t="str">
        <x:v>4. Coherencia y reflexión</x:v>
      </x:c>
      <x:c r="B9" s="20" t="n">
        <x:v>4</x:v>
      </x:c>
      <x:c r="C9" s="20" t="n">
        <x:f>COUNT('Registro IA'!$E$21:$E$24)</x:f>
        <x:v>0</x:v>
      </x:c>
      <x:c r="D9" s="32" t="str">
        <x:f>IF(C9=0,"",ROUND(AVERAGE('Registro IA'!$E$21:$E$24),1))</x:f>
      </x:c>
      <x:c r="E9" s="20" t="str">
        <x:f>IF(OR(C9&lt;B9,COUNTIF('Registro IA'!$J$21:$J$24,"Validado")&lt;B9),"Pendiente",IF(D9&gt;='Escala y fuentes'!$E$3,"Destacado",IF(D9&gt;='Escala y fuentes'!$E$4,"Competente","Básico")))</x:f>
        <x:v>Pendiente</x:v>
      </x:c>
      <x:c r="F9" s="20" t="str">
        <x:f>IF(C9=0,"Sin valorar",IF(C9&lt;B9,"Evidencia incompleta",IF(COUNTIF('Registro IA'!$J$21:$J$24,"Validado")&lt;B9,"Revisión humana pendiente","Cerrado")))</x:f>
        <x:v>Sin valorar</x:v>
      </x:c>
      <x:c r="G9" s="20" t="n">
        <x:f>B9-C9</x:f>
        <x:v>4</x:v>
      </x:c>
      <x:c r="H9" s="20" t="str">
        <x:v>Vínculos entre intención, tareas reales, ajustes y evaluación.</x:v>
      </x:c>
    </x:row>
    <x:row r="11" ht="32" customHeight="1">
      <x:c r="A11" s="13" t="str">
        <x:v>LECTURA RESPONSABLE DEL PANEL</x:v>
      </x:c>
      <x:c r="B11" s="13"/>
      <x:c r="C11" s="13"/>
      <x:c r="D11" s="13"/>
      <x:c r="E11" s="13"/>
      <x:c r="F11" s="13"/>
      <x:c r="G11" s="13"/>
      <x:c r="H11" s="13"/>
    </x:row>
    <x:row r="12" ht="44" customHeight="1">
      <x:c r="A12" s="30" t="str">
        <x:v>«Valorados» cuenta criterios con nivel, cita de evidencia y ubicación. Una valoración no validada puede producir un promedio provisional, pero no un nivel final.</x:v>
      </x:c>
      <x:c r="B12" s="30"/>
      <x:c r="C12" s="30"/>
      <x:c r="D12" s="30"/>
      <x:c r="E12" s="30"/>
      <x:c r="F12" s="30"/>
      <x:c r="G12" s="30"/>
      <x:c r="H12" s="30"/>
    </x:row>
    <x:row r="13" ht="44" customHeight="1">
      <x:c r="A13" s="18" t="str">
        <x:v>«Pendiente» no es un desempeño; tampoco debe interpretarse como «Básico». El panel NO transforma automáticamente las dimensiones en una nota final.</x:v>
      </x:c>
      <x:c r="B13" s="18"/>
      <x:c r="C13" s="18"/>
      <x:c r="D13" s="18"/>
      <x:c r="E13" s="18"/>
      <x:c r="F13" s="18"/>
      <x:c r="G13" s="18"/>
      <x:c r="H13" s="18"/>
    </x:row>
    <x:row r="14" ht="44" customHeight="1">
      <x:c r="A14" s="30" t="str">
        <x:v>Para una devolución formativa: priorizar 2–3 hallazgos sustentados, explicar el mecanismo didáctico y proponer una acción de mejora verificable.</x:v>
      </x:c>
      <x:c r="B14" s="30"/>
      <x:c r="C14" s="30"/>
      <x:c r="D14" s="30"/>
      <x:c r="E14" s="30"/>
      <x:c r="F14" s="30"/>
      <x:c r="G14" s="30"/>
      <x:c r="H14" s="30"/>
    </x:row>
  </x:sheetData>
  <x:mergeCells>
    <x:mergeCell ref="A1:H1"/>
    <x:mergeCell ref="A2:H2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5" hidden="0" customWidth="1"/>
    <x:col min="4" max="4" width="56" hidden="0" customWidth="1"/>
    <x:col min="5" max="5" width="60" hidden="0" customWidth="1"/>
    <x:col min="6" max="6" width="63" hidden="0" customWidth="1"/>
  </x:cols>
  <x:sheetData>
    <x:row r="1" ht="38" customHeight="1">
      <x:c r="A1" s="5" t="str">
        <x:v>PROTOCOLO OPERATIVO | retroalimentación fundamentada</x:v>
      </x:c>
      <x:c r="B1" s="5"/>
      <x:c r="C1" s="5"/>
      <x:c r="D1" s="5"/>
      <x:c r="E1" s="5"/>
      <x:c r="F1" s="5"/>
    </x:row>
    <x:row r="2" ht="43" customHeight="1">
      <x:c r="A2" s="13" t="str">
        <x:v>Paso</x:v>
      </x:c>
      <x:c r="B2" s="13" t="str">
        <x:v>Operación</x:v>
      </x:c>
      <x:c r="C2" s="13" t="str">
        <x:v>Entradas mínimas</x:v>
      </x:c>
      <x:c r="D2" s="13" t="str">
        <x:v>Salida esperada</x:v>
      </x:c>
      <x:c r="E2" s="13" t="str">
        <x:v>Control de calidad / límites</x:v>
      </x:c>
      <x:c r="F2" s="13" t="str">
        <x:v>Ejemplo de instrucción para IA</x:v>
      </x:c>
    </x:row>
    <x:row r="3" ht="97" customHeight="1">
      <x:c r="A3" s="20" t="str">
        <x:v>01</x:v>
      </x:c>
      <x:c r="B3" s="20" t="str">
        <x:v>Identificar caso</x:v>
      </x:c>
      <x:c r="C3" s="20" t="str">
        <x:v>Estudiante, nivel, OA y sesiones cubiertas.</x:v>
      </x:c>
      <x:c r="D3" s="20" t="str">
        <x:v>Inventario de materiales y fuentes con identificadores.</x:v>
      </x:c>
      <x:c r="E3" s="20" t="str">
        <x:v>Separar documento disponible, registro parcial y ausencia de dato.</x:v>
      </x:c>
      <x:c r="F3" s="20" t="str">
        <x:v>Indica el archivo y página o el minuto exacto de cada evidencia.</x:v>
      </x:c>
    </x:row>
    <x:row r="4" ht="97" customHeight="1">
      <x:c r="A4" s="20" t="str">
        <x:v>02</x:v>
      </x:c>
      <x:c r="B4" s="20" t="str">
        <x:v>Segmentar la secuencia</x:v>
      </x:c>
      <x:c r="C4" s="20" t="str">
        <x:v>Planificación y anexos: OA, tareas, anticipaciones, criterios.</x:v>
      </x:c>
      <x:c r="D4" s="20" t="str">
        <x:v>Mapa OA → tarea → actividad/episodio → indicador.</x:v>
      </x:c>
      <x:c r="E4" s="20" t="str">
        <x:v>No completar vacíos de la planificación suponiendo lo que se «debió» hacer.</x:v>
      </x:c>
      <x:c r="F4" s="20" t="str">
        <x:v>Extrae únicamente los OA y tareas que consten en la planificación.</x:v>
      </x:c>
    </x:row>
    <x:row r="5" ht="97" customHeight="1">
      <x:c r="A5" s="20" t="str">
        <x:v>03</x:v>
      </x:c>
      <x:c r="B5" s="20" t="str">
        <x:v>Analizar episodios</x:v>
      </x:c>
      <x:c r="C5" s="20" t="str">
        <x:v>Vídeo o transcripción; pizarra/materiales si están disponibles.</x:v>
      </x:c>
      <x:c r="D5" s="20" t="str">
        <x:v>Episodios fechados y citas contrastables del quehacer docente/estudiantil.</x:v>
      </x:c>
      <x:c r="E5" s="20" t="str">
        <x:v>No deducir acciones visuales a partir de una transcripción de audio sin prueba.</x:v>
      </x:c>
      <x:c r="F5" s="20" t="str">
        <x:v>Ubica un episodio y distingue hecho observable de interpretación.</x:v>
      </x:c>
    </x:row>
    <x:row r="6" ht="97" customHeight="1">
      <x:c r="A6" s="20" t="str">
        <x:v>04</x:v>
      </x:c>
      <x:c r="B6" s="20" t="str">
        <x:v>Revisar evaluación</x:v>
      </x:c>
      <x:c r="C6" s="20" t="str">
        <x:v>Instrumentos, respuestas y resultados de estudiantes.</x:v>
      </x:c>
      <x:c r="D6" s="20" t="str">
        <x:v>Mapa de indicadores y desempeños observados.</x:v>
      </x:c>
      <x:c r="E6" s="20" t="str">
        <x:v>No afirmar logro de aprendizaje solo por finalización de actividad.</x:v>
      </x:c>
      <x:c r="F6" s="20" t="str">
        <x:v>¿Qué respuesta concreta permite inferir el indicador evaluado?</x:v>
      </x:c>
    </x:row>
    <x:row r="7" ht="97" customHeight="1">
      <x:c r="A7" s="20" t="str">
        <x:v>05</x:v>
      </x:c>
      <x:c r="B7" s="20" t="str">
        <x:v>Cruzar las tres fases</x:v>
      </x:c>
      <x:c r="C7" s="20" t="str">
        <x:v>Mapa de planificación, episodios y productos/resultados.</x:v>
      </x:c>
      <x:c r="D7" s="20" t="str">
        <x:v>Coherencias, cambios, vacíos y justificaciones de ajustes.</x:v>
      </x:c>
      <x:c r="E7" s="20" t="str">
        <x:v>No penalizar el cambio por sí mismo: analizar propósito y fundamento.</x:v>
      </x:c>
      <x:c r="F7" s="20" t="str">
        <x:v>Contrasta intención, lo ocurrido y lo evaluado antes de valorar D4.</x:v>
      </x:c>
    </x:row>
    <x:row r="8" ht="97" customHeight="1">
      <x:c r="A8" s="20" t="str">
        <x:v>06</x:v>
      </x:c>
      <x:c r="B8" s="20" t="str">
        <x:v>Aplicar criterios</x:v>
      </x:c>
      <x:c r="C8" s="20" t="str">
        <x:v>Descripción de 19 criterios con tres niveles.</x:v>
      </x:c>
      <x:c r="D8" s="20" t="str">
        <x:v>Nivel propuesto + cita + ubicación + justificación por criterio.</x:v>
      </x:c>
      <x:c r="E8" s="20" t="str">
        <x:v>En falta de datos: «Evidencia insuficiente», nunca «Básico» por defecto.</x:v>
      </x:c>
      <x:c r="F8" s="20" t="str">
        <x:v>¿Qué descriptor queda mejor sustentado por esta evidencia?</x:v>
      </x:c>
    </x:row>
    <x:row r="9" ht="97" customHeight="1">
      <x:c r="A9" s="20" t="str">
        <x:v>07</x:v>
      </x:c>
      <x:c r="B9" s="20" t="str">
        <x:v>Priorizar feedback</x:v>
      </x:c>
      <x:c r="C9" s="20" t="str">
        <x:v>Patrones entre criterios y dimensiones.</x:v>
      </x:c>
      <x:c r="D9" s="20" t="str">
        <x:v>2–3 fortalezas; 2–3 tensiones; preguntas y acciones realizables.</x:v>
      </x:c>
      <x:c r="E9" s="20" t="str">
        <x:v>No repetir 19 comentarios desconectados ni sobredimensionar un episodio.</x:v>
      </x:c>
      <x:c r="F9" s="20" t="str">
        <x:v>Explica por qué una decisión incidió en una oportunidad matemática.</x:v>
      </x:c>
    </x:row>
    <x:row r="10" ht="97" customHeight="1">
      <x:c r="A10" s="20" t="str">
        <x:v>08</x:v>
      </x:c>
      <x:c r="B10" s="20" t="str">
        <x:v>Validación humana</x:v>
      </x:c>
      <x:c r="C10" s="20" t="str">
        <x:v>Registro de IA con evidencia y el material original.</x:v>
      </x:c>
      <x:c r="D10" s="20" t="str">
        <x:v>Aceptar, corregir o solicitar más evidencia; cerrar solo después de validar.</x:v>
      </x:c>
      <x:c r="E10" s="20" t="str">
        <x:v>Si hay conflicto entre IA y evidencia, prima el registro verificable y la revisión docente.</x:v>
      </x:c>
      <x:c r="F10" s="20" t="str">
        <x:v>Revisa especialmente errores conceptuales y razonamientos atribuidos.</x:v>
      </x:c>
    </x:row>
    <x:row r="12" ht="31" customHeight="1">
      <x:c r="A12" s="13" t="str">
        <x:v>ESTRUCTURA RECOMENDADA DE CADA RETROALIMENTACIÓN</x:v>
      </x:c>
      <x:c r="B12" s="13"/>
      <x:c r="C12" s="13"/>
      <x:c r="D12" s="13"/>
      <x:c r="E12" s="13"/>
      <x:c r="F12" s="13"/>
    </x:row>
    <x:row r="13" ht="51" customHeight="1">
      <x:c r="A13" s="20" t="str">
        <x:v>Campo</x:v>
      </x:c>
      <x:c r="B13" s="20" t="str">
        <x:v>Descripción / regla</x:v>
      </x:c>
      <x:c r="C13" s="20"/>
      <x:c r="D13" s="20"/>
      <x:c r="E13" s="20"/>
      <x:c r="F13" s="20"/>
    </x:row>
    <x:row r="14" ht="51" customHeight="1">
      <x:c r="A14" s="20" t="str">
        <x:v>Código y criterio</x:v>
      </x:c>
      <x:c r="B14" s="20" t="str">
        <x:v>Ej.: 4.2; usar la misma numeración del libro.</x:v>
      </x:c>
      <x:c r="C14" s="20"/>
      <x:c r="D14" s="20"/>
      <x:c r="E14" s="20"/>
      <x:c r="F14" s="20"/>
    </x:row>
    <x:row r="15" ht="51" customHeight="1">
      <x:c r="A15" s="20" t="str">
        <x:v>Nivel propuesto</x:v>
      </x:c>
      <x:c r="B15" s="20" t="str">
        <x:v>Básico / Competente / Destacado / Evidencia insuficiente.</x:v>
      </x:c>
      <x:c r="C15" s="20"/>
      <x:c r="D15" s="20"/>
      <x:c r="E15" s="20"/>
      <x:c r="F15" s="20"/>
    </x:row>
    <x:row r="16" ht="51" customHeight="1">
      <x:c r="A16" s="20" t="str">
        <x:v>Evidencia y ubicación</x:v>
      </x:c>
      <x:c r="B16" s="20" t="str">
        <x:v>Cita breve literal o descripción fiel, documento/página o vídeo/minuto; evitar datos personales innecesarios.</x:v>
      </x:c>
      <x:c r="C16" s="20"/>
      <x:c r="D16" s="20"/>
      <x:c r="E16" s="20"/>
      <x:c r="F16" s="20"/>
    </x:row>
    <x:row r="17" ht="51" customHeight="1">
      <x:c r="A17" s="20" t="str">
        <x:v>Interpretación</x:v>
      </x:c>
      <x:c r="B17" s="20" t="str">
        <x:v>Vincular la evidencia con las palabras del descriptor y la oportunidad matemática generada o limitada.</x:v>
      </x:c>
      <x:c r="C17" s="20"/>
      <x:c r="D17" s="20"/>
      <x:c r="E17" s="20"/>
      <x:c r="F17" s="20"/>
    </x:row>
    <x:row r="18" ht="51" customHeight="1">
      <x:c r="A18" s="20" t="str">
        <x:v>Recomendación</x:v>
      </x:c>
      <x:c r="B18" s="20" t="str">
        <x:v>Una mejora concreta con pregunta formativa y evidencia posterior necesaria para verificar progreso.</x:v>
      </x:c>
      <x:c r="C18" s="20"/>
      <x:c r="D18" s="20"/>
      <x:c r="E18" s="20"/>
      <x:c r="F18" s="20"/>
    </x:row>
    <x:row r="20" ht="32" customHeight="1">
      <x:c r="A20" s="13" t="str">
        <x:v>CRITERIOS TRANSVERSALES DE SEGURIDAD E INTERPRETACIÓN</x:v>
      </x:c>
      <x:c r="B20" s="13"/>
      <x:c r="C20" s="13"/>
      <x:c r="D20" s="13"/>
      <x:c r="E20" s="13"/>
      <x:c r="F20" s="13"/>
    </x:row>
    <x:row r="21" ht="52" customHeight="1">
      <x:c r="A21" s="18" t="str">
        <x:v>No imputar motivaciones, competencias estables, estados de salud u otras características de estudiantes o docentes a partir de un episodio aislado.</x:v>
      </x:c>
      <x:c r="B21" s="18"/>
      <x:c r="C21" s="18"/>
      <x:c r="D21" s="18"/>
      <x:c r="E21" s="18"/>
      <x:c r="F21" s="18"/>
    </x:row>
    <x:row r="22" ht="52" customHeight="1">
      <x:c r="A22" s="18" t="str">
        <x:v>En transcripciones, distinguir «no consta» de «no ocurrió»: recursos, gestos, trabajos y distribución de la participación pueden requerir vídeo o anexos.</x:v>
      </x:c>
      <x:c r="B22" s="18"/>
      <x:c r="C22" s="18"/>
      <x:c r="D22" s="18"/>
      <x:c r="E22" s="18"/>
      <x:c r="F22" s="18"/>
    </x:row>
    <x:row r="23" ht="52" customHeight="1">
      <x:c r="A23" s="18" t="str">
        <x:v>No confundir conformidad mecánica con la planificación con calidad: un ajuste oportuno puede mantener o mejorar el objetivo didáctico.</x:v>
      </x:c>
      <x:c r="B23" s="18"/>
      <x:c r="C23" s="18"/>
      <x:c r="D23" s="18"/>
      <x:c r="E23" s="18"/>
      <x:c r="F23" s="18"/>
    </x:row>
    <x:row r="24" ht="52" customHeight="1">
      <x:c r="A24" s="18" t="str">
        <x:v>Conservar trazabilidad hasta la fuente y evitar trasladar datos identificables de escolares a herramientas sin autorización institucional y controles adecuados.</x:v>
      </x:c>
      <x:c r="B24" s="18"/>
      <x:c r="C24" s="18"/>
      <x:c r="D24" s="18"/>
      <x:c r="E24" s="18"/>
      <x:c r="F24" s="18"/>
    </x:row>
    <x:row r="25" ht="52" customHeight="1">
      <x:c r="A25" s="18" t="str">
        <x:v>Vinculación con perfil de egreso: agregar mapeo institucional de competencias y progresión esperada solo una vez verificados los documentos oficiales de la carrera.</x:v>
      </x:c>
      <x:c r="B25" s="18"/>
      <x:c r="C25" s="18"/>
      <x:c r="D25" s="18"/>
      <x:c r="E25" s="18"/>
      <x:c r="F25" s="18"/>
    </x:row>
  </x:sheetData>
  <x:mergeCells>
    <x:mergeCell ref="A1:F1"/>
    <x:mergeCell ref="A12:F12"/>
    <x:mergeCell ref="B13:F13"/>
    <x:mergeCell ref="B14:F14"/>
    <x:mergeCell ref="B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57" hidden="0" customWidth="1"/>
    <x:col min="4" max="4" width="65" hidden="0" customWidth="1"/>
    <x:col min="5" max="5" width="58" hidden="0" customWidth="1"/>
    <x:col min="6" max="6" width="25" hidden="0" customWidth="1"/>
  </x:cols>
  <x:sheetData>
    <x:row r="1" ht="38" customHeight="1">
      <x:c r="A1" s="5" t="str">
        <x:v>TRAZABILIDAD | qué se conserva, reformula y agrega</x:v>
      </x:c>
      <x:c r="B1" s="5"/>
      <x:c r="C1" s="5"/>
      <x:c r="D1" s="5"/>
      <x:c r="E1" s="5"/>
      <x:c r="F1" s="5"/>
    </x:row>
    <x:row r="2" ht="43" customHeight="1">
      <x:c r="A2" s="13" t="str">
        <x:v>Origen</x:v>
      </x:c>
      <x:c r="B2" s="13" t="str">
        <x:v>Criterio/s</x:v>
      </x:c>
      <x:c r="C2" s="13" t="str">
        <x:v>Decisión editorial</x:v>
      </x:c>
      <x:c r="D2" s="13" t="str">
        <x:v>Razón pedagógica / IA</x:v>
      </x:c>
      <x:c r="E2" s="13" t="str">
        <x:v>Referente</x:v>
      </x:c>
      <x:c r="F2" s="13" t="str">
        <x:v>Estatus</x:v>
      </x:c>
    </x:row>
    <x:row r="3" ht="85" customHeight="1">
      <x:c r="A3" s="20" t="str">
        <x:v>Samuel</x:v>
      </x:c>
      <x:c r="B3" s="20" t="str">
        <x:v>1.1, 1.2, 1.4, 1.5</x:v>
      </x:c>
      <x:c r="C3" s="20" t="str">
        <x:v>Conservar los descriptores y focos originales.</x:v>
      </x:c>
      <x:c r="D3" s="20" t="str">
        <x:v>Retener el diseño disciplinar de la matriz inicial.</x:v>
      </x:c>
      <x:c r="E3" s="20" t="str">
        <x:v>Matriz Samuel; M1 pp. 4–7 cuando procede.</x:v>
      </x:c>
      <x:c r="F3" s="20" t="str">
        <x:v>Base original</x:v>
      </x:c>
    </x:row>
    <x:row r="4" ht="85" customHeight="1">
      <x:c r="A4" s="25" t="str">
        <x:v>Samuel</x:v>
      </x:c>
      <x:c r="B4" s="25" t="str">
        <x:v>1.3</x:v>
      </x:c>
      <x:c r="C4" s="25" t="str">
        <x:v>Reformular el criterio de anticipación sin mínimo obligatorio de tres.</x:v>
      </x:c>
      <x:c r="D4" s="25" t="str">
        <x:v>Evaluar pertinencia y fundamentos, no conteo mecánico de errores.</x:v>
      </x:c>
      <x:c r="E4" s="25" t="str">
        <x:v>Matriz Samuel; adaptación del equipo.</x:v>
      </x:c>
      <x:c r="F4" s="25" t="str">
        <x:v>Reformulado</x:v>
      </x:c>
    </x:row>
    <x:row r="5" ht="85" customHeight="1">
      <x:c r="A5" s="20" t="str">
        <x:v>Samuel</x:v>
      </x:c>
      <x:c r="B5" s="20" t="str">
        <x:v>2.1, 2.3, 2.5, 2.6</x:v>
      </x:c>
      <x:c r="C5" s="20" t="str">
        <x:v>Conservar contenido original y asociar evidencia verificable.</x:v>
      </x:c>
      <x:c r="D5" s="20" t="str">
        <x:v>Respetar enfoque de habilidades, argumentación, inclusión e idoneidad epistémica.</x:v>
      </x:c>
      <x:c r="E5" s="20" t="str">
        <x:v>Matriz Samuel; M2 pp. 17–25 cuando procede.</x:v>
      </x:c>
      <x:c r="F5" s="20" t="str">
        <x:v>Base original</x:v>
      </x:c>
    </x:row>
    <x:row r="6" ht="85" customHeight="1">
      <x:c r="A6" s="25" t="str">
        <x:v>Samuel</x:v>
      </x:c>
      <x:c r="B6" s="25" t="str">
        <x:v>2.2</x:v>
      </x:c>
      <x:c r="C6" s="25" t="str">
        <x:v>Reformular monitoreo activo/pasivo como recogida e interpretación de evidencias.</x:v>
      </x:c>
      <x:c r="D6" s="25" t="str">
        <x:v>Evitar que recorrer la sala se confunda con monitoreo formativo.</x:v>
      </x:c>
      <x:c r="E6" s="25" t="str">
        <x:v>M1 T2 p. 8; M2 p. 24.</x:v>
      </x:c>
      <x:c r="F6" s="25" t="str">
        <x:v>Reformulado</x:v>
      </x:c>
    </x:row>
    <x:row r="7" ht="85" customHeight="1">
      <x:c r="A7" s="25" t="str">
        <x:v>Samuel</x:v>
      </x:c>
      <x:c r="B7" s="25" t="str">
        <x:v>2.4</x:v>
      </x:c>
      <x:c r="C7" s="25" t="str">
        <x:v>Reformular recursos manipulables y/o tecnológicos como pertinencia de los medios.</x:v>
      </x:c>
      <x:c r="D7" s="25" t="str">
        <x:v>No exigir tecnología o manipulables de forma indiscriminada.</x:v>
      </x:c>
      <x:c r="E7" s="25" t="str">
        <x:v>M2 p. 19 + ajuste formativo.</x:v>
      </x:c>
      <x:c r="F7" s="25" t="str">
        <x:v>Reformulado</x:v>
      </x:c>
    </x:row>
    <x:row r="8" ht="85" customHeight="1">
      <x:c r="A8" s="20" t="str">
        <x:v>Samuel</x:v>
      </x:c>
      <x:c r="B8" s="20" t="str">
        <x:v>3.1, 3.2</x:v>
      </x:c>
      <x:c r="C8" s="20" t="str">
        <x:v>Conservar descriptores y añadir fuente de evidencia por criterio.</x:v>
      </x:c>
      <x:c r="D8" s="20" t="str">
        <x:v>Mantener evaluación de indicadores y adecuación del instrumento.</x:v>
      </x:c>
      <x:c r="E8" s="20" t="str">
        <x:v>M1 T2 p. 8.</x:v>
      </x:c>
      <x:c r="F8" s="20" t="str">
        <x:v>Base original</x:v>
      </x:c>
    </x:row>
    <x:row r="9" ht="85" customHeight="1">
      <x:c r="A9" s="25" t="str">
        <x:v>Samuel</x:v>
      </x:c>
      <x:c r="B9" s="25" t="str">
        <x:v>3.3</x:v>
      </x:c>
      <x:c r="C9" s="25" t="str">
        <x:v>Reformular requisito de las tres funciones evaluativas.</x:v>
      </x:c>
      <x:c r="D9" s="25" t="str">
        <x:v>Valorar el propósito y la información usada según momento de la secuencia.</x:v>
      </x:c>
      <x:c r="E9" s="25" t="str">
        <x:v>M1 T2 pp. 8–10 + ajuste formativo.</x:v>
      </x:c>
      <x:c r="F9" s="25" t="str">
        <x:v>Reformulado</x:v>
      </x:c>
    </x:row>
    <x:row r="10" ht="85" customHeight="1">
      <x:c r="A10" s="25" t="str">
        <x:v>Samuel</x:v>
      </x:c>
      <x:c r="B10" s="25" t="str">
        <x:v>3.4</x:v>
      </x:c>
      <x:c r="C10" s="25" t="str">
        <x:v>Precisar análisis causal, desempeños y uso formativo.</x:v>
      </x:c>
      <x:c r="D10" s="25" t="str">
        <x:v>Distinguir descripción de interpretación y decisiones pedagógicas.</x:v>
      </x:c>
      <x:c r="E10" s="25" t="str">
        <x:v>M1 T2 pp. 9–10.</x:v>
      </x:c>
      <x:c r="F10" s="25" t="str">
        <x:v>Reformulado</x:v>
      </x:c>
    </x:row>
    <x:row r="11" ht="85" customHeight="1">
      <x:c r="A11" s="25" t="str">
        <x:v>Nueva propuesta</x:v>
      </x:c>
      <x:c r="B11" s="25" t="str">
        <x:v>4.1–4.4</x:v>
      </x:c>
      <x:c r="C11" s="25" t="str">
        <x:v>Incorporar coherencia entre planificación, implementación y evaluación.</x:v>
      </x:c>
      <x:c r="D11" s="25" t="str">
        <x:v>Triangular objetivos, tareas, ajustes y evidencias; valorar flexibilidad fundada.</x:v>
      </x:c>
      <x:c r="E11" s="25" t="str">
        <x:v>M1 T1 pp. 4–7; M1 T2 pp. 8–10; M2 pp. 19, 24.</x:v>
      </x:c>
      <x:c r="F11" s="25" t="str">
        <x:v>Nueva dimensión</x:v>
      </x:c>
    </x:row>
    <x:row r="12" ht="85" customHeight="1">
      <x:c r="A12" s="25" t="str">
        <x:v>Nueva propuesta</x:v>
      </x:c>
      <x:c r="B12" s="25" t="str">
        <x:v>Todos</x:v>
      </x:c>
      <x:c r="C12" s="25" t="str">
        <x:v>Añadir columnas de evidencias y fuentes en cada dimensión.</x:v>
      </x:c>
      <x:c r="D12" s="25" t="str">
        <x:v>Facilitar citas contrastables para IA y revisión docente.</x:v>
      </x:c>
      <x:c r="E12" s="25" t="str">
        <x:v>Protocolo local de retroalimentación.</x:v>
      </x:c>
      <x:c r="F12" s="25" t="str">
        <x:v>Nuevo campo</x:v>
      </x:c>
    </x:row>
    <x:row r="13" ht="85" customHeight="1">
      <x:c r="A13" s="25" t="str">
        <x:v>Nueva propuesta</x:v>
      </x:c>
      <x:c r="B13" s="25" t="str">
        <x:v>Registro y panel</x:v>
      </x:c>
      <x:c r="C13" s="25" t="str">
        <x:v>Añadir valoración por criterio, estado de evidencia y cierre humano.</x:v>
      </x:c>
      <x:c r="D13" s="25" t="str">
        <x:v>No equiparar ausencia de evidencia con desempeño insuficiente.</x:v>
      </x:c>
      <x:c r="E13" s="25" t="str">
        <x:v>Diseño operativo para Práctica III.</x:v>
      </x:c>
      <x:c r="F13" s="25" t="str">
        <x:v>Nuevo flujo</x:v>
      </x:c>
    </x:row>
    <x:row r="14" ht="85" customHeight="1">
      <x:c r="A14" s="25" t="str">
        <x:v>Nueva propuesta</x:v>
      </x:c>
      <x:c r="B14" s="25" t="str">
        <x:v>Escala global</x:v>
      </x:c>
      <x:c r="C14" s="25" t="str">
        <x:v>Mantener umbrales de Samuel y explicitar redondeo a un decimal.</x:v>
      </x:c>
      <x:c r="D14" s="25" t="str">
        <x:v>Eliminar huecos de clasificación y evitar una nota global automática.</x:v>
      </x:c>
      <x:c r="E14" s="25" t="str">
        <x:v>Escala original de Samuel; regla adicional de aplicación.</x:v>
      </x:c>
      <x:c r="F14" s="25" t="str">
        <x:v>Precisado</x:v>
      </x:c>
    </x:row>
    <x:row r="16" ht="32" customHeight="1">
      <x:c r="A16" s="13" t="str">
        <x:v>AVISO SOBRE EL REFERENTE EXTERNO</x:v>
      </x:c>
      <x:c r="B16" s="13"/>
      <x:c r="C16" s="13"/>
      <x:c r="D16" s="13"/>
      <x:c r="E16" s="13"/>
      <x:c r="F16" s="13"/>
    </x:row>
    <x:row r="17" ht="58" customHeight="1">
      <x:c r="A17" s="18" t="str">
        <x:v>El Portafolio 2025 aportado aborda 7.º básico a 4.º medio; los criterios de Samuel y la dimensión 4 son adaptaciones de formación inicial para Práctica III. No se presenta esta matriz como réplica ni certificación oficial.</x:v>
      </x:c>
      <x:c r="B17" s="18"/>
      <x:c r="C17" s="18"/>
      <x:c r="D17" s="18"/>
      <x:c r="E17" s="18"/>
      <x:c r="F17" s="18"/>
    </x:row>
  </x:sheetData>
  <x:mergeCells>
    <x:mergeCell ref="A1:F1"/>
    <x:mergeCell ref="A16:F16"/>
    <x:mergeCell ref="A17:F17"/>
  </x:mergeCells>
  <x:pageMargins left="0.7" right="0.7" top="0.75" bottom="0.75" header="0.3" footer="0.3"/>
</x:worksheet>
</file>